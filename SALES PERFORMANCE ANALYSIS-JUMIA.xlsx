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80c3b7feb00e8fda/Desktop/LUXDEVHQ/"/>
    </mc:Choice>
  </mc:AlternateContent>
  <xr:revisionPtr revIDLastSave="15" documentId="14_{6712A3CD-BAC6-4D39-9634-8A4063BD5E7A}" xr6:coauthVersionLast="47" xr6:coauthVersionMax="47" xr10:uidLastSave="{BFDDB95B-0EEB-4AEB-9E79-9040CDA12A4D}"/>
  <bookViews>
    <workbookView xWindow="-110" yWindow="-110" windowWidth="19420" windowHeight="10300" firstSheet="10" activeTab="11" xr2:uid="{EF69217A-AAF3-4F6C-A98E-11840E581A8D}"/>
  </bookViews>
  <sheets>
    <sheet name="Ave.Rating &amp; Dis.By DisCategory" sheetId="3" r:id="rId1"/>
    <sheet name="Product By Rating Category" sheetId="4" r:id="rId2"/>
    <sheet name="Discount Vs No. of Reviews" sheetId="5" r:id="rId3"/>
    <sheet name="Rating VS Reviews" sheetId="6" r:id="rId4"/>
    <sheet name="Discount Vs Customer Engagement" sheetId="7" r:id="rId5"/>
    <sheet name="Rating Category Vs Reviews" sheetId="8" r:id="rId6"/>
    <sheet name="First 10Products vs Discount" sheetId="9" r:id="rId7"/>
    <sheet name="10Products by Reviews" sheetId="10" r:id="rId8"/>
    <sheet name="Highest Rated Products" sheetId="11" r:id="rId9"/>
    <sheet name="HighDiscount by Reviews&amp;Rating" sheetId="12" r:id="rId10"/>
    <sheet name="Products VS Discount Category" sheetId="14" r:id="rId11"/>
    <sheet name="DASHBOARD" sheetId="13" r:id="rId12"/>
    <sheet name="Excel_jumia" sheetId="1" r:id="rId13"/>
  </sheets>
  <definedNames>
    <definedName name="_xlnm._FilterDatabase" localSheetId="12" hidden="1">Excel_jumia!$H$1:$H$116</definedName>
    <definedName name="Slicer_Corrected_Review">#N/A</definedName>
    <definedName name="Slicer_Discount_Category">#N/A</definedName>
    <definedName name="Slicer_Rating_Category">#N/A</definedName>
    <definedName name="Slicer_Rating_Out_of_5">#N/A</definedName>
  </definedNames>
  <calcPr calcId="191029"/>
  <pivotCaches>
    <pivotCache cacheId="18"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2"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3" i="1"/>
  <c r="H4" i="1"/>
  <c r="H2" i="1"/>
</calcChain>
</file>

<file path=xl/sharedStrings.xml><?xml version="1.0" encoding="utf-8"?>
<sst xmlns="http://schemas.openxmlformats.org/spreadsheetml/2006/main" count="213" uniqueCount="137">
  <si>
    <t>Product</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</si>
  <si>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</si>
  <si>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</si>
  <si>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</si>
  <si>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</si>
  <si>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</si>
  <si>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</si>
  <si>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</si>
  <si>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</si>
  <si>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</si>
  <si>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</si>
  <si>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</si>
  <si>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</si>
  <si>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</si>
  <si>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</si>
  <si>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</si>
  <si>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</si>
  <si>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</si>
  <si>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</si>
  <si>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</si>
  <si>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</si>
  <si>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</si>
  <si>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</si>
  <si>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</si>
  <si>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</si>
  <si>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</si>
  <si>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</si>
  <si>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</si>
  <si>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</si>
  <si>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</si>
  <si>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</si>
  <si>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</si>
  <si>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</si>
  <si>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</si>
  <si>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</si>
  <si>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</si>
  <si>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</si>
  <si>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</si>
  <si>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</si>
  <si>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</si>
  <si>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</si>
  <si>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</si>
  <si>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</si>
  <si>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</si>
  <si>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</si>
  <si>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</si>
  <si>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</si>
  <si>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</si>
  <si>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</si>
  <si>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</si>
  <si>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</si>
  <si>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</si>
  <si>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</si>
  <si>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</si>
  <si>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</si>
  <si>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</si>
  <si>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</si>
  <si>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</si>
  <si>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</si>
  <si>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</si>
  <si>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</si>
  <si>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</si>
  <si>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</si>
  <si>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</si>
  <si>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</si>
  <si>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</si>
  <si>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</si>
  <si>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</si>
  <si>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</si>
  <si>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</si>
  <si>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</si>
  <si>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</si>
  <si>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</si>
  <si>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</si>
  <si>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</si>
  <si>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</si>
  <si>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</si>
  <si>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</si>
  <si>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</si>
  <si>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</si>
  <si>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</si>
  <si>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</si>
  <si>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</si>
  <si>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</si>
  <si>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</si>
  <si>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</si>
  <si>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</si>
  <si>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</si>
  <si>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</si>
  <si>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</si>
  <si>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</si>
  <si>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</si>
  <si>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</si>
  <si>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</si>
  <si>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</si>
  <si>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</si>
  <si>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</si>
  <si>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</si>
  <si>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</si>
  <si>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</si>
  <si>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</si>
  <si>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</si>
  <si>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</si>
  <si>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</si>
  <si>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</si>
  <si>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</si>
  <si>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</si>
  <si>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</si>
  <si>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</si>
  <si>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</si>
  <si>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</si>
  <si>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MultiFunctional Storage Rack Multi-layer Booelf</t>
  </si>
  <si>
    <t>Old Price</t>
  </si>
  <si>
    <t>Current Price</t>
  </si>
  <si>
    <t>Corrected Review</t>
  </si>
  <si>
    <t>Rating Out of 5</t>
  </si>
  <si>
    <t>Discount Amount</t>
  </si>
  <si>
    <t>Rating Category</t>
  </si>
  <si>
    <t>Discount Category</t>
  </si>
  <si>
    <t>Row Labels</t>
  </si>
  <si>
    <t>High</t>
  </si>
  <si>
    <t>Grand Total</t>
  </si>
  <si>
    <t>Sum of Rating Out of 5</t>
  </si>
  <si>
    <t>Sum of Discount Amount</t>
  </si>
  <si>
    <t>Average</t>
  </si>
  <si>
    <t>Excellent</t>
  </si>
  <si>
    <t>poor</t>
  </si>
  <si>
    <t>Count of Product</t>
  </si>
  <si>
    <t>Sum of Discount</t>
  </si>
  <si>
    <t>Sum of Corrected Review</t>
  </si>
  <si>
    <t>Count of Rating Out of 5</t>
  </si>
  <si>
    <t>(All)</t>
  </si>
  <si>
    <t>Max of Discount</t>
  </si>
  <si>
    <t>Max of Rating Out of 5</t>
  </si>
  <si>
    <t>Count of Discount Category</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</si>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</sst>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KES]\ #,##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sz val="11"/>
      <color theme="1"/>
      <name val="Times New Roman"/>
      <family val="1"/>
    </font>
    <font>
      <sz val="11"/>
      <color theme="1"/>
      <name val="Calibri Light"/>
      <family val="2"/>
      <scheme val="major"/>
    </font>
    <font>
      <sz val="11"/>
      <color theme="1"/>
      <name val="Calibri Light"/>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7">
    <xf numFmtId="0" fontId="0" fillId="0" borderId="0" xfId="0"/>
    <xf numFmtId="0" fontId="18" fillId="0" borderId="0" xfId="0" applyFont="1"/>
    <xf numFmtId="0" fontId="19" fillId="0" borderId="0" xfId="0" applyFont="1"/>
    <xf numFmtId="164" fontId="18" fillId="0" borderId="0" xfId="0" applyNumberFormat="1" applyFont="1"/>
    <xf numFmtId="9" fontId="18" fillId="0" borderId="0" xfId="0" applyNumberFormat="1" applyFont="1"/>
    <xf numFmtId="0" fontId="18" fillId="0" borderId="0" xfId="0" applyFont="1" applyAlignment="1">
      <alignment wrapText="1"/>
    </xf>
    <xf numFmtId="164" fontId="19" fillId="0" borderId="0" xfId="0" applyNumberFormat="1" applyFont="1"/>
    <xf numFmtId="9" fontId="19" fillId="0" borderId="0" xfId="0" applyNumberFormat="1" applyFont="1"/>
    <xf numFmtId="0" fontId="19" fillId="33" borderId="0" xfId="0" applyFont="1" applyFill="1"/>
    <xf numFmtId="0" fontId="20" fillId="0" borderId="0" xfId="0" pivotButton="1" applyFont="1"/>
    <xf numFmtId="0" fontId="20" fillId="0" borderId="0" xfId="0" applyFont="1"/>
    <xf numFmtId="0" fontId="20" fillId="0" borderId="0" xfId="0" applyFont="1" applyAlignment="1">
      <alignment horizontal="left"/>
    </xf>
    <xf numFmtId="0" fontId="20" fillId="0" borderId="0" xfId="0" applyNumberFormat="1" applyFont="1"/>
    <xf numFmtId="0" fontId="21" fillId="0" borderId="0" xfId="0" pivotButton="1" applyFont="1"/>
    <xf numFmtId="0" fontId="21" fillId="0" borderId="0" xfId="0" applyFont="1"/>
    <xf numFmtId="0" fontId="21" fillId="0" borderId="0" xfId="0" applyFont="1" applyAlignment="1">
      <alignment horizontal="left"/>
    </xf>
    <xf numFmtId="0" fontId="21" fillId="0" borderId="0" xfId="0" applyNumberFormat="1" applyFo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462">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
      <font>
        <name val="Calibri Light"/>
        <family val="2"/>
        <scheme val="major"/>
      </font>
    </dxf>
  </dxfs>
  <tableStyles count="1" defaultTableStyle="TableStyleMedium2" defaultPivotStyle="PivotStyleLight16">
    <tableStyle name="Slicer Style 1" pivot="0" table="0" count="0" xr9:uid="{AFB5584E-BFA8-427F-BA3A-818679EAEE03}"/>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[Excel_jumia.xlsx]Ave.Rating &amp; Dis.By DisCategory!PivotTable1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Rating and</a:t>
            </a:r>
            <a:r>
              <a:rPr lang="en-US" b="1" baseline="0"/>
              <a:t> Discount by Discount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'Ave.Rating &amp; Dis.By DisCategory'!$B$3</c:f>
              <c:strCache>
                <c:ptCount val="1"/>
                <c:pt idx="0">
                  <c:v>Sum of Rating Out of 5</c:v>
                </c:pt>
              </c:strCache>
            </c:strRef>
          </c:tx>
          <c:spPr>
            <a:solidFill>
              <a:schemeClr val="accent1"/>
            </a:solidFill>
            <a:ln>
              <a:noFill/>
            </a:ln>
            <a:effectLst/>
          </c:spPr>
          <c:invertIfNegative val="0"/>
          <c:cat>
            <c:strRef>
              <c:f>'Ave.Rating &amp; Dis.By DisCategory'!$A$4:$A$7</c:f>
              <c:strCache>
                <c:ptCount val="3"/>
                <c:pt idx="0">
                  <c:v>Average</c:v>
                </c:pt>
                <c:pt idx="1">
                  <c:v>Excellent</c:v>
                </c:pt>
                <c:pt idx="2">
                  <c:v>poor</c:v>
                </c:pt>
              </c:strCache>
            </c:strRef>
          </c:cat>
          <c:val>
            <c:numRef>
              <c:f>'Ave.Rating &amp; Dis.By DisCategory'!$B$4:$B$7</c:f>
              <c:numCache>
                <c:formatCode>General</c:formatCode>
                <c:ptCount val="3"/>
                <c:pt idx="0">
                  <c:v>304.20000000000039</c:v>
                </c:pt>
                <c:pt idx="1">
                  <c:v>109.2</c:v>
                </c:pt>
                <c:pt idx="2">
                  <c:v>28.700000000000003</c:v>
                </c:pt>
              </c:numCache>
            </c:numRef>
          </c:val>
          <c:extLst>
            <c:ext xmlns:c16="http://schemas.microsoft.com/office/drawing/2014/chart" uri="{C3380CC4-5D6E-409C-BE32-E72D297353CC}">
              <c16:uniqueId val="{00000000-BAAE-4AAA-94CF-9B66AAF8EA3B}"/>
            </c:ext>
          </c:extLst>
        </c:ser>
        <c:ser>
          <c:idx val="1"/>
          <c:order val="1"/>
          <c:tx>
            <c:strRef>
              <c:f>'Ave.Rating &amp; Dis.By DisCategory'!$C$3</c:f>
              <c:strCache>
                <c:ptCount val="1"/>
                <c:pt idx="0">
                  <c:v>Sum of Discount Amount</c:v>
                </c:pt>
              </c:strCache>
            </c:strRef>
          </c:tx>
          <c:spPr>
            <a:solidFill>
              <a:schemeClr val="accent2"/>
            </a:solidFill>
            <a:ln>
              <a:noFill/>
            </a:ln>
            <a:effectLst/>
          </c:spPr>
          <c:invertIfNegative val="0"/>
          <c:cat>
            <c:strRef>
              <c:f>'Ave.Rating &amp; Dis.By DisCategory'!$A$4:$A$7</c:f>
              <c:strCache>
                <c:ptCount val="3"/>
                <c:pt idx="0">
                  <c:v>Average</c:v>
                </c:pt>
                <c:pt idx="1">
                  <c:v>Excellent</c:v>
                </c:pt>
                <c:pt idx="2">
                  <c:v>poor</c:v>
                </c:pt>
              </c:strCache>
            </c:strRef>
          </c:cat>
          <c:val>
            <c:numRef>
              <c:f>'Ave.Rating &amp; Dis.By DisCategory'!$C$4:$C$7</c:f>
              <c:numCache>
                <c:formatCode>General</c:formatCode>
                <c:ptCount val="3"/>
                <c:pt idx="0">
                  <c:v>45696</c:v>
                </c:pt>
                <c:pt idx="1">
                  <c:v>16770</c:v>
                </c:pt>
                <c:pt idx="2">
                  <c:v>9146</c:v>
                </c:pt>
              </c:numCache>
            </c:numRef>
          </c:val>
          <c:extLst>
            <c:ext xmlns:c16="http://schemas.microsoft.com/office/drawing/2014/chart" uri="{C3380CC4-5D6E-409C-BE32-E72D297353CC}">
              <c16:uniqueId val="{00000001-BAAE-4AAA-94CF-9B66AAF8EA3B}"/>
            </c:ext>
          </c:extLst>
        </c:ser>
        <c:dLbls>
          <c:showLegendKey val="0"/>
          <c:showVal val="0"/>
          <c:showCatName val="0"/>
          <c:showSerName val="0"/>
          <c:showPercent val="0"/>
          <c:showBubbleSize val="0"/>
        </c:dLbls>
        <c:gapWidth val="219"/>
        <c:overlap val="-27"/>
        <c:axId val="365997631"/>
        <c:axId val="365999071"/>
      </c:barChart>
      <c:catAx>
        <c:axId val="3659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99071"/>
        <c:crosses val="autoZero"/>
        <c:auto val="1"/>
        <c:lblAlgn val="ctr"/>
        <c:lblOffset val="100"/>
        <c:noMultiLvlLbl val="0"/>
      </c:catAx>
      <c:valAx>
        <c:axId val="36599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9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By Rating Category!PivotTable2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Distribution By Rating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'Product By 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43-41FF-AB05-2FD7AE426A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43-41FF-AB05-2FD7AE426A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43-41FF-AB05-2FD7AE426A4F}"/>
              </c:ext>
            </c:extLst>
          </c:dPt>
          <c:cat>
            <c:strRef>
              <c:f>'Product By Rating Category'!$A$4:$A$7</c:f>
              <c:strCache>
                <c:ptCount val="3"/>
                <c:pt idx="0">
                  <c:v>Average</c:v>
                </c:pt>
                <c:pt idx="1">
                  <c:v>Excellent</c:v>
                </c:pt>
                <c:pt idx="2">
                  <c:v>poor</c:v>
                </c:pt>
              </c:strCache>
            </c:strRef>
          </c:cat>
          <c:val>
            <c:numRef>
              <c:f>'Product By Rating Category'!$B$4:$B$7</c:f>
              <c:numCache>
                <c:formatCode>General</c:formatCode>
                <c:ptCount val="3"/>
                <c:pt idx="0">
                  <c:v>80</c:v>
                </c:pt>
                <c:pt idx="1">
                  <c:v>23</c:v>
                </c:pt>
                <c:pt idx="2">
                  <c:v>12</c:v>
                </c:pt>
              </c:numCache>
            </c:numRef>
          </c:val>
          <c:extLst>
            <c:ext xmlns:c16="http://schemas.microsoft.com/office/drawing/2014/chart" uri="{C3380CC4-5D6E-409C-BE32-E72D297353CC}">
              <c16:uniqueId val="{00000000-6AE4-4010-847B-EBFFF930F7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[Excel_jumia.xlsx]Discount Vs No. of Reviews!PivotTable3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a:t>
            </a:r>
            <a:r>
              <a:rPr lang="en-US" b="1" baseline="0"/>
              <a:t>nt %ge and No. of Reviews</a:t>
            </a:r>
            <a:endParaRPr lang="en-US" b="1"/>
          </a:p>
        </c:rich>
      </c:tx>
      <c:layout>
        <c:manualLayout>
          <c:xMode val="edge"/>
          <c:yMode val="edge"/>
          <c:x val="0.21758887171561048"/>
          <c:y val="0.1100904053659959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Vs No. of Reviews'!$B$3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'Discount Vs No. of Reviews'!$A$4:$A$14</c:f>
              <c:strCache>
                <c:ptCount val="10"/>
                <c:pt idx="0">
                  <c:v>0</c:v>
                </c:pt>
                <c:pt idx="1">
                  <c:v>1</c:v>
                </c:pt>
                <c:pt idx="2">
                  <c:v>2</c:v>
                </c:pt>
                <c:pt idx="3">
                  <c:v>3</c:v>
                </c:pt>
                <c:pt idx="4">
                  <c:v>5</c:v>
                </c:pt>
                <c:pt idx="5">
                  <c:v>6</c:v>
                </c:pt>
                <c:pt idx="6">
                  <c:v>7</c:v>
                </c:pt>
                <c:pt idx="7">
                  <c:v>9</c:v>
                </c:pt>
                <c:pt idx="8">
                  <c:v>10</c:v>
                </c:pt>
                <c:pt idx="9">
                  <c:v>12</c:v>
                </c:pt>
              </c:strCache>
            </c:strRef>
          </c:cat>
          <c:val>
            <c:numRef>
              <c:f>'Discount Vs No. of Reviews'!$B$4:$B$14</c:f>
              <c:numCache>
                <c:formatCode>General</c:formatCode>
                <c:ptCount val="10"/>
                <c:pt idx="0">
                  <c:v>20.289999999999996</c:v>
                </c:pt>
                <c:pt idx="1">
                  <c:v>2.5499999999999998</c:v>
                </c:pt>
                <c:pt idx="2">
                  <c:v>2.63</c:v>
                </c:pt>
                <c:pt idx="3">
                  <c:v>0.49</c:v>
                </c:pt>
                <c:pt idx="4">
                  <c:v>2.56</c:v>
                </c:pt>
                <c:pt idx="5">
                  <c:v>2.25</c:v>
                </c:pt>
                <c:pt idx="6">
                  <c:v>1.8800000000000001</c:v>
                </c:pt>
                <c:pt idx="7">
                  <c:v>1.33</c:v>
                </c:pt>
                <c:pt idx="8">
                  <c:v>0.54</c:v>
                </c:pt>
                <c:pt idx="9">
                  <c:v>1.19</c:v>
                </c:pt>
              </c:numCache>
            </c:numRef>
          </c:val>
          <c:smooth val="0"/>
          <c:extLst>
            <c:ext xmlns:c16="http://schemas.microsoft.com/office/drawing/2014/chart" uri="{C3380CC4-5D6E-409C-BE32-E72D297353CC}">
              <c16:uniqueId val="{0000001C-15E3-4C64-A057-340822F284BE}"/>
            </c:ext>
          </c:extLst>
        </c:ser>
        <c:dLbls>
          <c:showLegendKey val="0"/>
          <c:showVal val="0"/>
          <c:showCatName val="0"/>
          <c:showSerName val="0"/>
          <c:showPercent val="0"/>
          <c:showBubbleSize val="0"/>
        </c:dLbls>
        <c:smooth val="0"/>
        <c:axId val="2131998095"/>
        <c:axId val="2131999055"/>
      </c:lineChart>
      <c:catAx>
        <c:axId val="21319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999055"/>
        <c:crosses val="autoZero"/>
        <c:auto val="1"/>
        <c:lblAlgn val="ctr"/>
        <c:lblOffset val="100"/>
        <c:noMultiLvlLbl val="0"/>
      </c:catAx>
      <c:valAx>
        <c:axId val="213199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99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[Excel_jumia.xlsx]Rating VS Reviews!PivotTable4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Rating</a:t>
            </a:r>
            <a:r>
              <a:rPr lang="en-US" b="1" baseline="0"/>
              <a:t> vs No. Of Reviews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VS Reviews'!$B$3</c:f>
              <c:strCache>
                <c:ptCount val="1"/>
                <c:pt idx="0">
                  <c:v>Total</c:v>
                </c:pt>
              </c:strCache>
            </c:strRef>
          </c:tx>
          <c:spPr>
            <a:solidFill>
              <a:schemeClr val="accent1"/>
            </a:solidFill>
            <a:ln>
              <a:noFill/>
            </a:ln>
            <a:effectLst/>
          </c:spPr>
          <c:invertIfNegative val="0"/>
          <c:cat>
            <c:strRef>
              <c:f>'Rating VS Reviews'!$A$4:$A$28</c:f>
              <c:strCache>
                <c:ptCount val="24"/>
                <c:pt idx="0">
                  <c:v>0</c:v>
                </c:pt>
                <c:pt idx="1">
                  <c:v>1</c:v>
                </c:pt>
                <c:pt idx="2">
                  <c:v>2</c:v>
                </c:pt>
                <c:pt idx="3">
                  <c:v>3</c:v>
                </c:pt>
                <c:pt idx="4">
                  <c:v>5</c:v>
                </c:pt>
                <c:pt idx="5">
                  <c:v>6</c:v>
                </c:pt>
                <c:pt idx="6">
                  <c:v>7</c:v>
                </c:pt>
                <c:pt idx="7">
                  <c:v>9</c:v>
                </c:pt>
                <c:pt idx="8">
                  <c:v>10</c:v>
                </c:pt>
                <c:pt idx="9">
                  <c:v>12</c:v>
                </c:pt>
                <c:pt idx="10">
                  <c:v>13</c:v>
                </c:pt>
                <c:pt idx="11">
                  <c:v>14</c:v>
                </c:pt>
                <c:pt idx="12">
                  <c:v>15</c:v>
                </c:pt>
                <c:pt idx="13">
                  <c:v>16</c:v>
                </c:pt>
                <c:pt idx="14">
                  <c:v>17</c:v>
                </c:pt>
                <c:pt idx="15">
                  <c:v>20</c:v>
                </c:pt>
                <c:pt idx="16">
                  <c:v>24</c:v>
                </c:pt>
                <c:pt idx="17">
                  <c:v>32</c:v>
                </c:pt>
                <c:pt idx="18">
                  <c:v>36</c:v>
                </c:pt>
                <c:pt idx="19">
                  <c:v>39</c:v>
                </c:pt>
                <c:pt idx="20">
                  <c:v>44</c:v>
                </c:pt>
                <c:pt idx="21">
                  <c:v>49</c:v>
                </c:pt>
                <c:pt idx="22">
                  <c:v>55</c:v>
                </c:pt>
                <c:pt idx="23">
                  <c:v>69</c:v>
                </c:pt>
              </c:strCache>
            </c:strRef>
          </c:cat>
          <c:val>
            <c:numRef>
              <c:f>'Rating VS Reviews'!$B$4:$B$28</c:f>
              <c:numCache>
                <c:formatCode>General</c:formatCode>
                <c:ptCount val="24"/>
                <c:pt idx="0">
                  <c:v>58</c:v>
                </c:pt>
                <c:pt idx="1">
                  <c:v>6</c:v>
                </c:pt>
                <c:pt idx="2">
                  <c:v>6</c:v>
                </c:pt>
                <c:pt idx="3">
                  <c:v>1</c:v>
                </c:pt>
                <c:pt idx="4">
                  <c:v>7</c:v>
                </c:pt>
                <c:pt idx="5">
                  <c:v>6</c:v>
                </c:pt>
                <c:pt idx="6">
                  <c:v>4</c:v>
                </c:pt>
                <c:pt idx="7">
                  <c:v>3</c:v>
                </c:pt>
                <c:pt idx="8">
                  <c:v>1</c:v>
                </c:pt>
                <c:pt idx="9">
                  <c:v>4</c:v>
                </c:pt>
                <c:pt idx="10">
                  <c:v>3</c:v>
                </c:pt>
                <c:pt idx="11">
                  <c:v>2</c:v>
                </c:pt>
                <c:pt idx="12">
                  <c:v>2</c:v>
                </c:pt>
                <c:pt idx="13">
                  <c:v>1</c:v>
                </c:pt>
                <c:pt idx="14">
                  <c:v>1</c:v>
                </c:pt>
                <c:pt idx="15">
                  <c:v>2</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0-61D5-4A89-B745-C6990FEF6DDC}"/>
            </c:ext>
          </c:extLst>
        </c:ser>
        <c:dLbls>
          <c:showLegendKey val="0"/>
          <c:showVal val="0"/>
          <c:showCatName val="0"/>
          <c:showSerName val="0"/>
          <c:showPercent val="0"/>
          <c:showBubbleSize val="0"/>
        </c:dLbls>
        <c:gapWidth val="219"/>
        <c:overlap val="-27"/>
        <c:axId val="579217711"/>
        <c:axId val="579218191"/>
      </c:barChart>
      <c:catAx>
        <c:axId val="57921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8191"/>
        <c:crosses val="autoZero"/>
        <c:auto val="1"/>
        <c:lblAlgn val="ctr"/>
        <c:lblOffset val="100"/>
        <c:noMultiLvlLbl val="0"/>
      </c:catAx>
      <c:valAx>
        <c:axId val="57921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[Excel_jumia.xlsx]Discount Vs Customer Engagement!PivotTable5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a:t>
            </a:r>
            <a:r>
              <a:rPr lang="en-US" b="1" baseline="0"/>
              <a:t> VS Customer Engagement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Customer Engagement'!$B$3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'Discount Vs Customer Engagement'!$A$4:$A$13</c:f>
              <c:strCache>
                <c:ptCount val="9"/>
                <c:pt idx="0">
                  <c:v>0</c:v>
                </c:pt>
                <c:pt idx="1">
                  <c:v>1</c:v>
                </c:pt>
                <c:pt idx="2">
                  <c:v>2</c:v>
                </c:pt>
                <c:pt idx="3">
                  <c:v>3</c:v>
                </c:pt>
                <c:pt idx="4">
                  <c:v>5</c:v>
                </c:pt>
                <c:pt idx="5">
                  <c:v>6</c:v>
                </c:pt>
                <c:pt idx="6">
                  <c:v>7</c:v>
                </c:pt>
                <c:pt idx="7">
                  <c:v>9</c:v>
                </c:pt>
                <c:pt idx="8">
                  <c:v>10</c:v>
                </c:pt>
              </c:strCache>
            </c:strRef>
          </c:cat>
          <c:val>
            <c:numRef>
              <c:f>'Discount Vs Customer Engagement'!$B$4:$B$13</c:f>
              <c:numCache>
                <c:formatCode>General</c:formatCode>
                <c:ptCount val="9"/>
                <c:pt idx="0">
                  <c:v>20.289999999999996</c:v>
                </c:pt>
                <c:pt idx="1">
                  <c:v>2.5499999999999998</c:v>
                </c:pt>
                <c:pt idx="2">
                  <c:v>2.63</c:v>
                </c:pt>
                <c:pt idx="3">
                  <c:v>0.49</c:v>
                </c:pt>
                <c:pt idx="4">
                  <c:v>2.56</c:v>
                </c:pt>
                <c:pt idx="5">
                  <c:v>2.25</c:v>
                </c:pt>
                <c:pt idx="6">
                  <c:v>1.8800000000000001</c:v>
                </c:pt>
                <c:pt idx="7">
                  <c:v>1.33</c:v>
                </c:pt>
                <c:pt idx="8">
                  <c:v>0.54</c:v>
                </c:pt>
              </c:numCache>
            </c:numRef>
          </c:val>
          <c:extLst>
            <c:ext xmlns:c16="http://schemas.microsoft.com/office/drawing/2014/chart" uri="{C3380CC4-5D6E-409C-BE32-E72D297353CC}">
              <c16:uniqueId val="{00000000-D1C4-486C-91F5-9ADB44755ED3}"/>
            </c:ext>
          </c:extLst>
        </c:ser>
        <c:dLbls>
          <c:showLegendKey val="0"/>
          <c:showVal val="0"/>
          <c:showCatName val="0"/>
          <c:showSerName val="0"/>
          <c:showPercent val="0"/>
          <c:showBubbleSize val="0"/>
        </c:dLbls>
        <c:gapWidth val="219"/>
        <c:overlap val="-27"/>
        <c:axId val="365981311"/>
        <c:axId val="365979391"/>
      </c:barChart>
      <c:catAx>
        <c:axId val="36598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79391"/>
        <c:crosses val="autoZero"/>
        <c:auto val="1"/>
        <c:lblAlgn val="ctr"/>
        <c:lblOffset val="100"/>
        <c:noMultiLvlLbl val="0"/>
      </c:catAx>
      <c:valAx>
        <c:axId val="36597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8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[Excel_jumia.xlsx]Rating Category Vs Reviews!PivotTable6</c:name>
    <c:fmtId val="0"/>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Rating Category</a:t>
            </a:r>
            <a:r>
              <a:rPr lang="en-US" sz="1200" baseline="0"/>
              <a:t> Vs Reviews</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Category Vs Reviews'!$B$3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'Rating Category Vs Reviews'!$A$4:$A$7</c:f>
              <c:strCache>
                <c:ptCount val="3"/>
                <c:pt idx="0">
                  <c:v>Average</c:v>
                </c:pt>
                <c:pt idx="1">
                  <c:v>Excellent</c:v>
                </c:pt>
                <c:pt idx="2">
                  <c:v>poor</c:v>
                </c:pt>
              </c:strCache>
            </c:strRef>
          </c:cat>
          <c:val>
            <c:numRef>
              <c:f>'Rating Category Vs Reviews'!$B$4:$B$7</c:f>
              <c:numCache>
                <c:formatCode>General</c:formatCode>
                <c:ptCount val="3"/>
                <c:pt idx="0">
                  <c:v>223</c:v>
                </c:pt>
                <c:pt idx="1">
                  <c:v>331</c:v>
                </c:pt>
                <c:pt idx="2">
                  <c:v>169</c:v>
                </c:pt>
              </c:numCache>
            </c:numRef>
          </c:val>
          <c:smooth val="0"/>
          <c:extLst>
            <c:ext xmlns:c16="http://schemas.microsoft.com/office/drawing/2014/chart" uri="{C3380CC4-5D6E-409C-BE32-E72D297353CC}">
              <c16:uniqueId val="{00000000-0AAA-46E4-A6C9-28AEDC7FF5CD}"/>
            </c:ext>
          </c:extLst>
        </c:ser>
        <c:dLbls>
          <c:dLblPos val="ctr"/>
          <c:showLegendKey val="0"/>
          <c:showVal val="1"/>
          <c:showCatName val="0"/>
          <c:showSerName val="0"/>
          <c:showPercent val="0"/>
          <c:showBubbleSize val="0"/>
        </c:dLbls>
        <c:marker val="1"/>
        <c:smooth val="0"/>
        <c:axId val="366040831"/>
        <c:axId val="579231151"/>
      </c:lineChart>
      <c:catAx>
        <c:axId val="3660408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9231151"/>
        <c:crosses val="autoZero"/>
        <c:auto val="1"/>
        <c:lblAlgn val="ctr"/>
        <c:lblOffset val="100"/>
        <c:noMultiLvlLbl val="0"/>
      </c:catAx>
      <c:valAx>
        <c:axId val="5792311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660408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[Excel_jumia.xlsx]First 10Products vs Discount!PivotTable7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First</a:t>
            </a:r>
            <a:r>
              <a:rPr lang="en-US" b="1" baseline="0"/>
              <a:t> 10 Products by Discount</a:t>
            </a:r>
          </a:p>
        </c:rich>
      </c:tx>
      <c:layout>
        <c:manualLayout>
          <c:xMode val="edge"/>
          <c:yMode val="edge"/>
          <c:x val="0.29974424552429663"/>
          <c:y val="0.1921806017022438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10Products vs Discount'!$B$3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'First 10Products vs Discount'!$A$4:$A$14</c:f>
              <c:strCache>
                <c:ptCount val="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strCache>
            </c:strRef>
          </c:cat>
          <c:val>
            <c:numRef>
              <c:f>'First 10Products vs Discount'!$B$4:$B$14</c:f>
              <c:numCache>
                <c:formatCode>General</c:formatCode>
                <c:ptCount val="10"/>
                <c:pt idx="0">
                  <c:v>0.38</c:v>
                </c:pt>
                <c:pt idx="1">
                  <c:v>0.34</c:v>
                </c:pt>
                <c:pt idx="2">
                  <c:v>0.38</c:v>
                </c:pt>
                <c:pt idx="3">
                  <c:v>0.32</c:v>
                </c:pt>
                <c:pt idx="4">
                  <c:v>0.34</c:v>
                </c:pt>
                <c:pt idx="5">
                  <c:v>0.49</c:v>
                </c:pt>
                <c:pt idx="6">
                  <c:v>0.27</c:v>
                </c:pt>
                <c:pt idx="7">
                  <c:v>0.45</c:v>
                </c:pt>
                <c:pt idx="8">
                  <c:v>0.24</c:v>
                </c:pt>
                <c:pt idx="9">
                  <c:v>0.24</c:v>
                </c:pt>
              </c:numCache>
            </c:numRef>
          </c:val>
          <c:extLst>
            <c:ext xmlns:c16="http://schemas.microsoft.com/office/drawing/2014/chart" uri="{C3380CC4-5D6E-409C-BE32-E72D297353CC}">
              <c16:uniqueId val="{00000000-6645-4EC8-BE94-A9530C3F0160}"/>
            </c:ext>
          </c:extLst>
        </c:ser>
        <c:dLbls>
          <c:showLegendKey val="0"/>
          <c:showVal val="0"/>
          <c:showCatName val="0"/>
          <c:showSerName val="0"/>
          <c:showPercent val="0"/>
          <c:showBubbleSize val="0"/>
        </c:dLbls>
        <c:gapWidth val="219"/>
        <c:overlap val="-27"/>
        <c:axId val="593570399"/>
        <c:axId val="593571359"/>
      </c:barChart>
      <c:catAx>
        <c:axId val="5935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71359"/>
        <c:crosses val="autoZero"/>
        <c:auto val="1"/>
        <c:lblAlgn val="ctr"/>
        <c:lblOffset val="100"/>
        <c:noMultiLvlLbl val="0"/>
      </c:catAx>
      <c:valAx>
        <c:axId val="59357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7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[Excel_jumia.xlsx]10Products by Reviews!PivotTable8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Reviews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'10Products by Reviews'!$B$3</c:f>
              <c:strCache>
                <c:ptCount val="1"/>
                <c:pt idx="0">
                  <c:v>Total</c:v>
                </c:pt>
              </c:strCache>
            </c:strRef>
          </c:tx>
          <c:spPr>
            <a:solidFill>
              <a:schemeClr val="accent1"/>
            </a:solidFill>
            <a:ln>
              <a:noFill/>
            </a:ln>
            <a:effectLst/>
          </c:spPr>
          <c:invertIfNegative val="0"/>
          <c:cat>
            <c:strRef>
              <c:f>'10Products by Reviews'!$A$4:$A$14</c:f>
              <c:strCache>
                <c:ptCount val="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strCache>
            </c:strRef>
          </c:cat>
          <c:val>
            <c:numRef>
              <c:f>'10Products by Reviews'!$B$4:$B$14</c:f>
              <c:numCache>
                <c:formatCode>General</c:formatCode>
                <c:ptCount val="10"/>
                <c:pt idx="0">
                  <c:v>2</c:v>
                </c:pt>
                <c:pt idx="1">
                  <c:v>39</c:v>
                </c:pt>
                <c:pt idx="2">
                  <c:v>2</c:v>
                </c:pt>
                <c:pt idx="3">
                  <c:v>13</c:v>
                </c:pt>
                <c:pt idx="4">
                  <c:v>12</c:v>
                </c:pt>
                <c:pt idx="5">
                  <c:v>69</c:v>
                </c:pt>
                <c:pt idx="6">
                  <c:v>0</c:v>
                </c:pt>
                <c:pt idx="7">
                  <c:v>5</c:v>
                </c:pt>
                <c:pt idx="8">
                  <c:v>55</c:v>
                </c:pt>
                <c:pt idx="9">
                  <c:v>0</c:v>
                </c:pt>
              </c:numCache>
            </c:numRef>
          </c:val>
          <c:extLst>
            <c:ext xmlns:c16="http://schemas.microsoft.com/office/drawing/2014/chart" uri="{C3380CC4-5D6E-409C-BE32-E72D297353CC}">
              <c16:uniqueId val="{00000000-6FFE-417A-846A-C64401C91B8F}"/>
            </c:ext>
          </c:extLst>
        </c:ser>
        <c:dLbls>
          <c:showLegendKey val="0"/>
          <c:showVal val="0"/>
          <c:showCatName val="0"/>
          <c:showSerName val="0"/>
          <c:showPercent val="0"/>
          <c:showBubbleSize val="0"/>
        </c:dLbls>
        <c:gapWidth val="219"/>
        <c:overlap val="-27"/>
        <c:axId val="593591039"/>
        <c:axId val="593591519"/>
      </c:barChart>
      <c:catAx>
        <c:axId val="59359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91519"/>
        <c:crosses val="autoZero"/>
        <c:auto val="1"/>
        <c:lblAlgn val="ctr"/>
        <c:lblOffset val="100"/>
        <c:noMultiLvlLbl val="0"/>
      </c:catAx>
      <c:valAx>
        <c:axId val="59359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9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[Excel_jumia.xlsx]HighDiscount by Reviews&amp;Rating!PivotTable10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Discount By Reviews and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'HighDiscount by Reviews&amp;Rating'!$B$3</c:f>
              <c:strCache>
                <c:ptCount val="1"/>
                <c:pt idx="0">
                  <c:v>Sum of Rating Out of 5</c:v>
                </c:pt>
              </c:strCache>
            </c:strRef>
          </c:tx>
          <c:spPr>
            <a:solidFill>
              <a:schemeClr val="accent1"/>
            </a:solidFill>
            <a:ln>
              <a:noFill/>
            </a:ln>
            <a:effectLst/>
          </c:spPr>
          <c:invertIfNegative val="0"/>
          <c:cat>
            <c:strRef>
              <c:f>'HighDiscount by Reviews&amp;Rating'!$A$4:$A$7</c:f>
              <c:strCache>
                <c:ptCount val="3"/>
                <c:pt idx="0">
                  <c:v>High</c:v>
                </c:pt>
                <c:pt idx="1">
                  <c:v>Low</c:v>
                </c:pt>
                <c:pt idx="2">
                  <c:v>Medium</c:v>
                </c:pt>
              </c:strCache>
            </c:strRef>
          </c:cat>
          <c:val>
            <c:numRef>
              <c:f>'HighDiscount by Reviews&amp;Rating'!$B$4:$B$7</c:f>
              <c:numCache>
                <c:formatCode>General</c:formatCode>
                <c:ptCount val="3"/>
                <c:pt idx="0">
                  <c:v>241.40000000000018</c:v>
                </c:pt>
                <c:pt idx="1">
                  <c:v>72.199999999999974</c:v>
                </c:pt>
                <c:pt idx="2">
                  <c:v>128.5</c:v>
                </c:pt>
              </c:numCache>
            </c:numRef>
          </c:val>
          <c:extLst>
            <c:ext xmlns:c16="http://schemas.microsoft.com/office/drawing/2014/chart" uri="{C3380CC4-5D6E-409C-BE32-E72D297353CC}">
              <c16:uniqueId val="{00000000-C51C-4AED-BD93-585876BAC6BB}"/>
            </c:ext>
          </c:extLst>
        </c:ser>
        <c:ser>
          <c:idx val="1"/>
          <c:order val="1"/>
          <c:tx>
            <c:strRef>
              <c:f>'HighDiscount by Reviews&amp;Rating'!$C$3</c:f>
              <c:strCache>
                <c:ptCount val="1"/>
                <c:pt idx="0">
                  <c:v>Sum of Corrected Review</c:v>
                </c:pt>
              </c:strCache>
            </c:strRef>
          </c:tx>
          <c:spPr>
            <a:solidFill>
              <a:schemeClr val="accent2"/>
            </a:solidFill>
            <a:ln>
              <a:noFill/>
            </a:ln>
            <a:effectLst/>
          </c:spPr>
          <c:invertIfNegative val="0"/>
          <c:cat>
            <c:strRef>
              <c:f>'HighDiscount by Reviews&amp;Rating'!$A$4:$A$7</c:f>
              <c:strCache>
                <c:ptCount val="3"/>
                <c:pt idx="0">
                  <c:v>High</c:v>
                </c:pt>
                <c:pt idx="1">
                  <c:v>Low</c:v>
                </c:pt>
                <c:pt idx="2">
                  <c:v>Medium</c:v>
                </c:pt>
              </c:strCache>
            </c:strRef>
          </c:cat>
          <c:val>
            <c:numRef>
              <c:f>'HighDiscount by Reviews&amp;Rating'!$C$4:$C$7</c:f>
              <c:numCache>
                <c:formatCode>General</c:formatCode>
                <c:ptCount val="3"/>
                <c:pt idx="0">
                  <c:v>334</c:v>
                </c:pt>
                <c:pt idx="1">
                  <c:v>50</c:v>
                </c:pt>
                <c:pt idx="2">
                  <c:v>339</c:v>
                </c:pt>
              </c:numCache>
            </c:numRef>
          </c:val>
          <c:extLst>
            <c:ext xmlns:c16="http://schemas.microsoft.com/office/drawing/2014/chart" uri="{C3380CC4-5D6E-409C-BE32-E72D297353CC}">
              <c16:uniqueId val="{00000001-C51C-4AED-BD93-585876BAC6BB}"/>
            </c:ext>
          </c:extLst>
        </c:ser>
        <c:dLbls>
          <c:showLegendKey val="0"/>
          <c:showVal val="0"/>
          <c:showCatName val="0"/>
          <c:showSerName val="0"/>
          <c:showPercent val="0"/>
          <c:showBubbleSize val="0"/>
        </c:dLbls>
        <c:gapWidth val="219"/>
        <c:overlap val="-27"/>
        <c:axId val="579178831"/>
        <c:axId val="579178351"/>
      </c:barChart>
      <c:catAx>
        <c:axId val="57917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78351"/>
        <c:crosses val="autoZero"/>
        <c:auto val="1"/>
        <c:lblAlgn val="ctr"/>
        <c:lblOffset val="100"/>
        <c:noMultiLvlLbl val="0"/>
      </c:catAx>
      <c:valAx>
        <c:axId val="57917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7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[Excel_jumia.xlsx]Products VS Discount Category!PivotTable11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Vs Discount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'Products VS Discount Category'!$B$3</c:f>
              <c:strCache>
                <c:ptCount val="1"/>
                <c:pt idx="0">
                  <c:v>Total</c:v>
                </c:pt>
              </c:strCache>
            </c:strRef>
          </c:tx>
          <c:spPr>
            <a:ln w="28575" cap="rnd">
              <a:solidFill>
                <a:schemeClr val="accent1"/>
              </a:solidFill>
              <a:round/>
            </a:ln>
            <a:effectLst/>
          </c:spPr>
          <c:marker>
            <c:symbol val="none"/>
          </c:marker>
          <c:cat>
            <c:strRef>
              <c:f>'Products VS Discount Category'!$A$4:$A$13</c:f>
              <c:strCache>
                <c:ptCount val="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strCache>
            </c:strRef>
          </c:cat>
          <c:val>
            <c:numRef>
              <c:f>'Products VS Discount Category'!$B$4:$B$13</c:f>
              <c:numCache>
                <c:formatCode>General</c:formatCode>
                <c:ptCount val="9"/>
                <c:pt idx="0">
                  <c:v>1</c:v>
                </c:pt>
                <c:pt idx="1">
                  <c:v>1</c:v>
                </c:pt>
                <c:pt idx="2">
                  <c:v>1</c:v>
                </c:pt>
                <c:pt idx="3">
                  <c:v>1</c:v>
                </c:pt>
                <c:pt idx="4">
                  <c:v>1</c:v>
                </c:pt>
                <c:pt idx="5">
                  <c:v>1</c:v>
                </c:pt>
                <c:pt idx="6">
                  <c:v>1</c:v>
                </c:pt>
                <c:pt idx="7">
                  <c:v>1</c:v>
                </c:pt>
                <c:pt idx="8">
                  <c:v>1</c:v>
                </c:pt>
              </c:numCache>
            </c:numRef>
          </c:val>
          <c:smooth val="0"/>
          <c:extLst>
            <c:ext xmlns:c16="http://schemas.microsoft.com/office/drawing/2014/chart" uri="{C3380CC4-5D6E-409C-BE32-E72D297353CC}">
              <c16:uniqueId val="{00000000-3B1A-44BC-AF93-1458B83621FA}"/>
            </c:ext>
          </c:extLst>
        </c:ser>
        <c:dLbls>
          <c:showLegendKey val="0"/>
          <c:showVal val="0"/>
          <c:showCatName val="0"/>
          <c:showSerName val="0"/>
          <c:showPercent val="0"/>
          <c:showBubbleSize val="0"/>
        </c:dLbls>
        <c:smooth val="0"/>
        <c:axId val="579210511"/>
        <c:axId val="579204271"/>
      </c:lineChart>
      <c:catAx>
        <c:axId val="57921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04271"/>
        <c:crosses val="autoZero"/>
        <c:auto val="1"/>
        <c:lblAlgn val="ctr"/>
        <c:lblOffset val="100"/>
        <c:noMultiLvlLbl val="0"/>
      </c:catAx>
      <c:valAx>
        <c:axId val="57920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By Rating Category!PivotTable2</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Product</a:t>
            </a:r>
            <a:r>
              <a:rPr lang="en-US" b="1" baseline="0">
                <a:solidFill>
                  <a:sysClr val="windowText" lastClr="000000"/>
                </a:solidFill>
                <a:latin typeface="Times New Roman" panose="02020603050405020304" pitchFamily="18" charset="0"/>
                <a:cs typeface="Times New Roman" panose="02020603050405020304" pitchFamily="18" charset="0"/>
              </a:rPr>
              <a:t> Distribution By Rating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'Product By 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9C-4003-BA49-5D95C3E181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9C-4003-BA49-5D95C3E181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9C-4003-BA49-5D95C3E181BA}"/>
              </c:ext>
            </c:extLst>
          </c:dPt>
          <c:cat>
            <c:strRef>
              <c:f>'Product By Rating Category'!$A$4:$A$7</c:f>
              <c:strCache>
                <c:ptCount val="3"/>
                <c:pt idx="0">
                  <c:v>Average</c:v>
                </c:pt>
                <c:pt idx="1">
                  <c:v>Excellent</c:v>
                </c:pt>
                <c:pt idx="2">
                  <c:v>poor</c:v>
                </c:pt>
              </c:strCache>
            </c:strRef>
          </c:cat>
          <c:val>
            <c:numRef>
              <c:f>'Product By Rating Category'!$B$4:$B$7</c:f>
              <c:numCache>
                <c:formatCode>General</c:formatCode>
                <c:ptCount val="3"/>
                <c:pt idx="0">
                  <c:v>80</c:v>
                </c:pt>
                <c:pt idx="1">
                  <c:v>23</c:v>
                </c:pt>
                <c:pt idx="2">
                  <c:v>12</c:v>
                </c:pt>
              </c:numCache>
            </c:numRef>
          </c:val>
          <c:extLst>
            <c:ext xmlns:c16="http://schemas.microsoft.com/office/drawing/2014/chart" uri="{C3380CC4-5D6E-409C-BE32-E72D297353CC}">
              <c16:uniqueId val="{00000006-539C-4003-BA49-5D95C3E181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[Excel_jumia.xlsx]10Products by Reviews!PivotTable8</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Top</a:t>
            </a:r>
            <a:r>
              <a:rPr lang="en-US" b="1" baseline="0">
                <a:solidFill>
                  <a:sysClr val="windowText" lastClr="000000"/>
                </a:solidFill>
                <a:latin typeface="Times New Roman" panose="02020603050405020304" pitchFamily="18" charset="0"/>
                <a:cs typeface="Times New Roman" panose="02020603050405020304" pitchFamily="18" charset="0"/>
              </a:rPr>
              <a:t> 10 Products by Reviews</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'10Products by Reviews'!$B$3</c:f>
              <c:strCache>
                <c:ptCount val="1"/>
                <c:pt idx="0">
                  <c:v>Total</c:v>
                </c:pt>
              </c:strCache>
            </c:strRef>
          </c:tx>
          <c:spPr>
            <a:solidFill>
              <a:schemeClr val="accent1"/>
            </a:solidFill>
            <a:ln>
              <a:noFill/>
            </a:ln>
            <a:effectLst/>
          </c:spPr>
          <c:invertIfNegative val="0"/>
          <c:cat>
            <c:strRef>
              <c:f>'10Products by Reviews'!$A$4:$A$14</c:f>
              <c:strCache>
                <c:ptCount val="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strCache>
            </c:strRef>
          </c:cat>
          <c:val>
            <c:numRef>
              <c:f>'10Products by Reviews'!$B$4:$B$14</c:f>
              <c:numCache>
                <c:formatCode>General</c:formatCode>
                <c:ptCount val="10"/>
                <c:pt idx="0">
                  <c:v>2</c:v>
                </c:pt>
                <c:pt idx="1">
                  <c:v>39</c:v>
                </c:pt>
                <c:pt idx="2">
                  <c:v>2</c:v>
                </c:pt>
                <c:pt idx="3">
                  <c:v>13</c:v>
                </c:pt>
                <c:pt idx="4">
                  <c:v>12</c:v>
                </c:pt>
                <c:pt idx="5">
                  <c:v>69</c:v>
                </c:pt>
                <c:pt idx="6">
                  <c:v>0</c:v>
                </c:pt>
                <c:pt idx="7">
                  <c:v>5</c:v>
                </c:pt>
                <c:pt idx="8">
                  <c:v>55</c:v>
                </c:pt>
                <c:pt idx="9">
                  <c:v>0</c:v>
                </c:pt>
              </c:numCache>
            </c:numRef>
          </c:val>
          <c:extLst>
            <c:ext xmlns:c16="http://schemas.microsoft.com/office/drawing/2014/chart" uri="{C3380CC4-5D6E-409C-BE32-E72D297353CC}">
              <c16:uniqueId val="{00000000-1BDD-4E26-895E-C97D064AAD1A}"/>
            </c:ext>
          </c:extLst>
        </c:ser>
        <c:dLbls>
          <c:showLegendKey val="0"/>
          <c:showVal val="0"/>
          <c:showCatName val="0"/>
          <c:showSerName val="0"/>
          <c:showPercent val="0"/>
          <c:showBubbleSize val="0"/>
        </c:dLbls>
        <c:gapWidth val="219"/>
        <c:overlap val="-27"/>
        <c:axId val="593591039"/>
        <c:axId val="593591519"/>
      </c:barChart>
      <c:catAx>
        <c:axId val="59359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91519"/>
        <c:crosses val="autoZero"/>
        <c:auto val="1"/>
        <c:lblAlgn val="ctr"/>
        <c:lblOffset val="100"/>
        <c:noMultiLvlLbl val="0"/>
      </c:catAx>
      <c:valAx>
        <c:axId val="59359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91039"/>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[Excel_jumia.xlsx]First 10Products vs Discount!PivotTable7</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First</a:t>
            </a:r>
            <a:r>
              <a:rPr lang="en-US" b="1" baseline="0">
                <a:solidFill>
                  <a:sysClr val="windowText" lastClr="000000"/>
                </a:solidFill>
                <a:latin typeface="Times New Roman" panose="02020603050405020304" pitchFamily="18" charset="0"/>
                <a:cs typeface="Times New Roman" panose="02020603050405020304" pitchFamily="18" charset="0"/>
              </a:rPr>
              <a:t> 10 Products by Discount</a:t>
            </a:r>
          </a:p>
        </c:rich>
      </c:tx>
      <c:layout>
        <c:manualLayout>
          <c:xMode val="edge"/>
          <c:yMode val="edge"/>
          <c:x val="0.38885075379099282"/>
          <c:y val="4.46840627308385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10Products vs Discount'!$B$3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'First 10Products vs Discount'!$A$4:$A$14</c:f>
              <c:strCache>
                <c:ptCount val="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strCache>
            </c:strRef>
          </c:cat>
          <c:val>
            <c:numRef>
              <c:f>'First 10Products vs Discount'!$B$4:$B$14</c:f>
              <c:numCache>
                <c:formatCode>General</c:formatCode>
                <c:ptCount val="10"/>
                <c:pt idx="0">
                  <c:v>0.38</c:v>
                </c:pt>
                <c:pt idx="1">
                  <c:v>0.34</c:v>
                </c:pt>
                <c:pt idx="2">
                  <c:v>0.38</c:v>
                </c:pt>
                <c:pt idx="3">
                  <c:v>0.32</c:v>
                </c:pt>
                <c:pt idx="4">
                  <c:v>0.34</c:v>
                </c:pt>
                <c:pt idx="5">
                  <c:v>0.49</c:v>
                </c:pt>
                <c:pt idx="6">
                  <c:v>0.27</c:v>
                </c:pt>
                <c:pt idx="7">
                  <c:v>0.45</c:v>
                </c:pt>
                <c:pt idx="8">
                  <c:v>0.24</c:v>
                </c:pt>
                <c:pt idx="9">
                  <c:v>0.24</c:v>
                </c:pt>
              </c:numCache>
            </c:numRef>
          </c:val>
          <c:extLst>
            <c:ext xmlns:c16="http://schemas.microsoft.com/office/drawing/2014/chart" uri="{C3380CC4-5D6E-409C-BE32-E72D297353CC}">
              <c16:uniqueId val="{00000001-885B-4F56-9FD7-936CD8846B35}"/>
            </c:ext>
          </c:extLst>
        </c:ser>
        <c:dLbls>
          <c:showLegendKey val="0"/>
          <c:showVal val="0"/>
          <c:showCatName val="0"/>
          <c:showSerName val="0"/>
          <c:showPercent val="0"/>
          <c:showBubbleSize val="0"/>
        </c:dLbls>
        <c:gapWidth val="219"/>
        <c:overlap val="-27"/>
        <c:axId val="593570399"/>
        <c:axId val="593571359"/>
      </c:barChart>
      <c:catAx>
        <c:axId val="5935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71359"/>
        <c:crosses val="autoZero"/>
        <c:auto val="1"/>
        <c:lblAlgn val="ctr"/>
        <c:lblOffset val="100"/>
        <c:noMultiLvlLbl val="0"/>
      </c:catAx>
      <c:valAx>
        <c:axId val="59357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70399"/>
        <c:crosses val="autoZero"/>
        <c:crossBetween val="between"/>
      </c:valAx>
      <c:spPr>
        <a:noFill/>
        <a:ln>
          <a:noFill/>
        </a:ln>
        <a:effectLst/>
      </c:spPr>
    </c:plotArea>
    <c:legend>
      <c:legendPos val="r"/>
      <c:layout>
        <c:manualLayout>
          <c:xMode val="edge"/>
          <c:yMode val="edge"/>
          <c:x val="0.67397442457203405"/>
          <c:y val="0.56120902040898024"/>
          <c:w val="0.2968206059839526"/>
          <c:h val="0.291135752509871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[Excel_jumia.xlsx]Rating VS Reviews!PivotTable4</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Rating</a:t>
            </a:r>
            <a:r>
              <a:rPr lang="en-US" b="1" baseline="0">
                <a:solidFill>
                  <a:sysClr val="windowText" lastClr="000000"/>
                </a:solidFill>
                <a:latin typeface="Times New Roman" panose="02020603050405020304" pitchFamily="18" charset="0"/>
                <a:cs typeface="Times New Roman" panose="02020603050405020304" pitchFamily="18" charset="0"/>
              </a:rPr>
              <a:t> vs No. Of Reviews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VS Reviews'!$B$3</c:f>
              <c:strCache>
                <c:ptCount val="1"/>
                <c:pt idx="0">
                  <c:v>Total</c:v>
                </c:pt>
              </c:strCache>
            </c:strRef>
          </c:tx>
          <c:spPr>
            <a:solidFill>
              <a:schemeClr val="accent1"/>
            </a:solidFill>
            <a:ln>
              <a:noFill/>
            </a:ln>
            <a:effectLst/>
          </c:spPr>
          <c:invertIfNegative val="0"/>
          <c:cat>
            <c:strRef>
              <c:f>'Rating VS Reviews'!$A$4:$A$28</c:f>
              <c:strCache>
                <c:ptCount val="24"/>
                <c:pt idx="0">
                  <c:v>0</c:v>
                </c:pt>
                <c:pt idx="1">
                  <c:v>1</c:v>
                </c:pt>
                <c:pt idx="2">
                  <c:v>2</c:v>
                </c:pt>
                <c:pt idx="3">
                  <c:v>3</c:v>
                </c:pt>
                <c:pt idx="4">
                  <c:v>5</c:v>
                </c:pt>
                <c:pt idx="5">
                  <c:v>6</c:v>
                </c:pt>
                <c:pt idx="6">
                  <c:v>7</c:v>
                </c:pt>
                <c:pt idx="7">
                  <c:v>9</c:v>
                </c:pt>
                <c:pt idx="8">
                  <c:v>10</c:v>
                </c:pt>
                <c:pt idx="9">
                  <c:v>12</c:v>
                </c:pt>
                <c:pt idx="10">
                  <c:v>13</c:v>
                </c:pt>
                <c:pt idx="11">
                  <c:v>14</c:v>
                </c:pt>
                <c:pt idx="12">
                  <c:v>15</c:v>
                </c:pt>
                <c:pt idx="13">
                  <c:v>16</c:v>
                </c:pt>
                <c:pt idx="14">
                  <c:v>17</c:v>
                </c:pt>
                <c:pt idx="15">
                  <c:v>20</c:v>
                </c:pt>
                <c:pt idx="16">
                  <c:v>24</c:v>
                </c:pt>
                <c:pt idx="17">
                  <c:v>32</c:v>
                </c:pt>
                <c:pt idx="18">
                  <c:v>36</c:v>
                </c:pt>
                <c:pt idx="19">
                  <c:v>39</c:v>
                </c:pt>
                <c:pt idx="20">
                  <c:v>44</c:v>
                </c:pt>
                <c:pt idx="21">
                  <c:v>49</c:v>
                </c:pt>
                <c:pt idx="22">
                  <c:v>55</c:v>
                </c:pt>
                <c:pt idx="23">
                  <c:v>69</c:v>
                </c:pt>
              </c:strCache>
            </c:strRef>
          </c:cat>
          <c:val>
            <c:numRef>
              <c:f>'Rating VS Reviews'!$B$4:$B$28</c:f>
              <c:numCache>
                <c:formatCode>General</c:formatCode>
                <c:ptCount val="24"/>
                <c:pt idx="0">
                  <c:v>58</c:v>
                </c:pt>
                <c:pt idx="1">
                  <c:v>6</c:v>
                </c:pt>
                <c:pt idx="2">
                  <c:v>6</c:v>
                </c:pt>
                <c:pt idx="3">
                  <c:v>1</c:v>
                </c:pt>
                <c:pt idx="4">
                  <c:v>7</c:v>
                </c:pt>
                <c:pt idx="5">
                  <c:v>6</c:v>
                </c:pt>
                <c:pt idx="6">
                  <c:v>4</c:v>
                </c:pt>
                <c:pt idx="7">
                  <c:v>3</c:v>
                </c:pt>
                <c:pt idx="8">
                  <c:v>1</c:v>
                </c:pt>
                <c:pt idx="9">
                  <c:v>4</c:v>
                </c:pt>
                <c:pt idx="10">
                  <c:v>3</c:v>
                </c:pt>
                <c:pt idx="11">
                  <c:v>2</c:v>
                </c:pt>
                <c:pt idx="12">
                  <c:v>2</c:v>
                </c:pt>
                <c:pt idx="13">
                  <c:v>1</c:v>
                </c:pt>
                <c:pt idx="14">
                  <c:v>1</c:v>
                </c:pt>
                <c:pt idx="15">
                  <c:v>2</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0-CD63-423F-BCD5-4D59FA55294E}"/>
            </c:ext>
          </c:extLst>
        </c:ser>
        <c:dLbls>
          <c:showLegendKey val="0"/>
          <c:showVal val="0"/>
          <c:showCatName val="0"/>
          <c:showSerName val="0"/>
          <c:showPercent val="0"/>
          <c:showBubbleSize val="0"/>
        </c:dLbls>
        <c:gapWidth val="219"/>
        <c:overlap val="-27"/>
        <c:axId val="579217711"/>
        <c:axId val="579218191"/>
      </c:barChart>
      <c:catAx>
        <c:axId val="57921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8191"/>
        <c:crosses val="autoZero"/>
        <c:auto val="1"/>
        <c:lblAlgn val="ctr"/>
        <c:lblOffset val="100"/>
        <c:noMultiLvlLbl val="0"/>
      </c:catAx>
      <c:valAx>
        <c:axId val="57921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7711"/>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[Excel_jumia.xlsx]Products VS Discount Category!PivotTable11</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Products Vs</a:t>
            </a:r>
            <a:r>
              <a:rPr lang="en-US" b="1" baseline="0">
                <a:solidFill>
                  <a:sysClr val="windowText" lastClr="000000"/>
                </a:solidFill>
                <a:latin typeface="Times New Roman" panose="02020603050405020304" pitchFamily="18" charset="0"/>
                <a:cs typeface="Times New Roman" panose="02020603050405020304" pitchFamily="18" charset="0"/>
              </a:rPr>
              <a:t> Discount Category</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'Products VS Discount Category'!$B$3</c:f>
              <c:strCache>
                <c:ptCount val="1"/>
                <c:pt idx="0">
                  <c:v>Total</c:v>
                </c:pt>
              </c:strCache>
            </c:strRef>
          </c:tx>
          <c:spPr>
            <a:ln w="28575" cap="rnd">
              <a:solidFill>
                <a:schemeClr val="accent1"/>
              </a:solidFill>
              <a:round/>
            </a:ln>
            <a:effectLst/>
          </c:spPr>
          <c:marker>
            <c:symbol val="none"/>
          </c:marker>
          <c:cat>
            <c:strRef>
              <c:f>'Products VS Discount Category'!$A$4:$A$13</c:f>
              <c:strCache>
                <c:ptCount val="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strCache>
            </c:strRef>
          </c:cat>
          <c:val>
            <c:numRef>
              <c:f>'Products VS Discount Category'!$B$4:$B$13</c:f>
              <c:numCache>
                <c:formatCode>General</c:formatCode>
                <c:ptCount val="9"/>
                <c:pt idx="0">
                  <c:v>1</c:v>
                </c:pt>
                <c:pt idx="1">
                  <c:v>1</c:v>
                </c:pt>
                <c:pt idx="2">
                  <c:v>1</c:v>
                </c:pt>
                <c:pt idx="3">
                  <c:v>1</c:v>
                </c:pt>
                <c:pt idx="4">
                  <c:v>1</c:v>
                </c:pt>
                <c:pt idx="5">
                  <c:v>1</c:v>
                </c:pt>
                <c:pt idx="6">
                  <c:v>1</c:v>
                </c:pt>
                <c:pt idx="7">
                  <c:v>1</c:v>
                </c:pt>
                <c:pt idx="8">
                  <c:v>1</c:v>
                </c:pt>
              </c:numCache>
            </c:numRef>
          </c:val>
          <c:smooth val="0"/>
          <c:extLst>
            <c:ext xmlns:c16="http://schemas.microsoft.com/office/drawing/2014/chart" uri="{C3380CC4-5D6E-409C-BE32-E72D297353CC}">
              <c16:uniqueId val="{00000000-7F33-4F16-B976-2498678CE75C}"/>
            </c:ext>
          </c:extLst>
        </c:ser>
        <c:dLbls>
          <c:showLegendKey val="0"/>
          <c:showVal val="0"/>
          <c:showCatName val="0"/>
          <c:showSerName val="0"/>
          <c:showPercent val="0"/>
          <c:showBubbleSize val="0"/>
        </c:dLbls>
        <c:smooth val="0"/>
        <c:axId val="579210511"/>
        <c:axId val="579204271"/>
      </c:lineChart>
      <c:catAx>
        <c:axId val="57921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04271"/>
        <c:crosses val="autoZero"/>
        <c:auto val="1"/>
        <c:lblAlgn val="ctr"/>
        <c:lblOffset val="100"/>
        <c:noMultiLvlLbl val="0"/>
      </c:catAx>
      <c:valAx>
        <c:axId val="57920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0511"/>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[Excel_jumia.xlsx]HighDiscount by Reviews&amp;Rating!PivotTable10</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High</a:t>
            </a:r>
            <a:r>
              <a:rPr lang="en-US" b="1" baseline="0">
                <a:latin typeface="Times New Roman" panose="02020603050405020304" pitchFamily="18" charset="0"/>
                <a:cs typeface="Times New Roman" panose="02020603050405020304" pitchFamily="18" charset="0"/>
              </a:rPr>
              <a:t> Discount By Reviews and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'HighDiscount by Reviews&amp;Rating'!$B$3</c:f>
              <c:strCache>
                <c:ptCount val="1"/>
                <c:pt idx="0">
                  <c:v>Sum of Rating Out of 5</c:v>
                </c:pt>
              </c:strCache>
            </c:strRef>
          </c:tx>
          <c:spPr>
            <a:solidFill>
              <a:schemeClr val="accent1"/>
            </a:solidFill>
            <a:ln>
              <a:noFill/>
            </a:ln>
            <a:effectLst/>
          </c:spPr>
          <c:invertIfNegative val="0"/>
          <c:cat>
            <c:strRef>
              <c:f>'HighDiscount by Reviews&amp;Rating'!$A$4:$A$7</c:f>
              <c:strCache>
                <c:ptCount val="3"/>
                <c:pt idx="0">
                  <c:v>High</c:v>
                </c:pt>
                <c:pt idx="1">
                  <c:v>Low</c:v>
                </c:pt>
                <c:pt idx="2">
                  <c:v>Medium</c:v>
                </c:pt>
              </c:strCache>
            </c:strRef>
          </c:cat>
          <c:val>
            <c:numRef>
              <c:f>'HighDiscount by Reviews&amp;Rating'!$B$4:$B$7</c:f>
              <c:numCache>
                <c:formatCode>General</c:formatCode>
                <c:ptCount val="3"/>
                <c:pt idx="0">
                  <c:v>241.40000000000018</c:v>
                </c:pt>
                <c:pt idx="1">
                  <c:v>72.199999999999974</c:v>
                </c:pt>
                <c:pt idx="2">
                  <c:v>128.5</c:v>
                </c:pt>
              </c:numCache>
            </c:numRef>
          </c:val>
          <c:extLst>
            <c:ext xmlns:c16="http://schemas.microsoft.com/office/drawing/2014/chart" uri="{C3380CC4-5D6E-409C-BE32-E72D297353CC}">
              <c16:uniqueId val="{00000000-BA64-49C2-BD6C-A6BCD71EC6DB}"/>
            </c:ext>
          </c:extLst>
        </c:ser>
        <c:ser>
          <c:idx val="1"/>
          <c:order val="1"/>
          <c:tx>
            <c:strRef>
              <c:f>'HighDiscount by Reviews&amp;Rating'!$C$3</c:f>
              <c:strCache>
                <c:ptCount val="1"/>
                <c:pt idx="0">
                  <c:v>Sum of Corrected Review</c:v>
                </c:pt>
              </c:strCache>
            </c:strRef>
          </c:tx>
          <c:spPr>
            <a:solidFill>
              <a:schemeClr val="accent2"/>
            </a:solidFill>
            <a:ln>
              <a:noFill/>
            </a:ln>
            <a:effectLst/>
          </c:spPr>
          <c:invertIfNegative val="0"/>
          <c:cat>
            <c:strRef>
              <c:f>'HighDiscount by Reviews&amp;Rating'!$A$4:$A$7</c:f>
              <c:strCache>
                <c:ptCount val="3"/>
                <c:pt idx="0">
                  <c:v>High</c:v>
                </c:pt>
                <c:pt idx="1">
                  <c:v>Low</c:v>
                </c:pt>
                <c:pt idx="2">
                  <c:v>Medium</c:v>
                </c:pt>
              </c:strCache>
            </c:strRef>
          </c:cat>
          <c:val>
            <c:numRef>
              <c:f>'HighDiscount by Reviews&amp;Rating'!$C$4:$C$7</c:f>
              <c:numCache>
                <c:formatCode>General</c:formatCode>
                <c:ptCount val="3"/>
                <c:pt idx="0">
                  <c:v>334</c:v>
                </c:pt>
                <c:pt idx="1">
                  <c:v>50</c:v>
                </c:pt>
                <c:pt idx="2">
                  <c:v>339</c:v>
                </c:pt>
              </c:numCache>
            </c:numRef>
          </c:val>
          <c:extLst>
            <c:ext xmlns:c16="http://schemas.microsoft.com/office/drawing/2014/chart" uri="{C3380CC4-5D6E-409C-BE32-E72D297353CC}">
              <c16:uniqueId val="{00000001-BA64-49C2-BD6C-A6BCD71EC6DB}"/>
            </c:ext>
          </c:extLst>
        </c:ser>
        <c:dLbls>
          <c:showLegendKey val="0"/>
          <c:showVal val="0"/>
          <c:showCatName val="0"/>
          <c:showSerName val="0"/>
          <c:showPercent val="0"/>
          <c:showBubbleSize val="0"/>
        </c:dLbls>
        <c:gapWidth val="219"/>
        <c:overlap val="-27"/>
        <c:axId val="579178831"/>
        <c:axId val="579178351"/>
      </c:barChart>
      <c:catAx>
        <c:axId val="57917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78351"/>
        <c:crosses val="autoZero"/>
        <c:auto val="1"/>
        <c:lblAlgn val="ctr"/>
        <c:lblOffset val="100"/>
        <c:noMultiLvlLbl val="0"/>
      </c:catAx>
      <c:valAx>
        <c:axId val="57917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7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171450</xdr:colOff>
      <xdr:row>7</xdr:row>
      <xdr:rowOff>101600</xdr:rowOff>
    </xdr:from>
    <xdr:to>
      <xdr:col>2</xdr:col>
      <xdr:colOff>1403350</xdr:colOff>
      <xdr:row>17</xdr:row>
      <xdr:rowOff>101600</xdr:rowOff>
    </xdr:to>
    <xdr:graphicFrame macro="">
      <xdr:nvGraphicFramePr>
        <xdr:cNvPr id="2" name="Chart 1">
          <a:extLst>
            <a:ext uri="{FF2B5EF4-FFF2-40B4-BE49-F238E27FC236}">
              <a16:creationId xmlns:a16="http://schemas.microsoft.com/office/drawing/2014/main" id="{5BCED4C5-12E7-D97B-2213-89714128C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107950</xdr:colOff>
      <xdr:row>2</xdr:row>
      <xdr:rowOff>1</xdr:rowOff>
    </xdr:from>
    <xdr:to>
      <xdr:col>6</xdr:col>
      <xdr:colOff>50800</xdr:colOff>
      <xdr:row>14</xdr:row>
      <xdr:rowOff>6350</xdr:rowOff>
    </xdr:to>
    <mc:AlternateContent xmlns:mc="http://schemas.openxmlformats.org/markup-compatibility/2006" xmlns:a14="http://schemas.microsoft.com/office/drawing/2010/main">
      <mc:Choice Requires="a14">
        <xdr:graphicFrame macro="">
          <xdr:nvGraphicFramePr>
            <xdr:cNvPr id="3" name="Discount Category">
              <a:extLst>
                <a:ext uri="{FF2B5EF4-FFF2-40B4-BE49-F238E27FC236}">
                  <a16:creationId xmlns:a16="http://schemas.microsoft.com/office/drawing/2014/main" id="{A7B87172-E412-0D58-918C-D7A1C156B826}"/>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4057650" y="368301"/>
              <a:ext cx="1771650" cy="2216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2</xdr:row>
      <xdr:rowOff>50800</xdr:rowOff>
    </xdr:from>
    <xdr:to>
      <xdr:col>14</xdr:col>
      <xdr:colOff>82550</xdr:colOff>
      <xdr:row>13</xdr:row>
      <xdr:rowOff>165100</xdr:rowOff>
    </xdr:to>
    <mc:AlternateContent xmlns:mc="http://schemas.openxmlformats.org/markup-compatibility/2006" xmlns:a14="http://schemas.microsoft.com/office/drawing/2010/main">
      <mc:Choice Requires="a14">
        <xdr:graphicFrame macro="">
          <xdr:nvGraphicFramePr>
            <xdr:cNvPr id="4" name="Corrected Review">
              <a:extLst>
                <a:ext uri="{FF2B5EF4-FFF2-40B4-BE49-F238E27FC236}">
                  <a16:creationId xmlns:a16="http://schemas.microsoft.com/office/drawing/2014/main" id="{28592877-E9A2-3083-5E3B-26E00BE375D4}"/>
                </a:ext>
              </a:extLst>
            </xdr:cNvPr>
            <xdr:cNvGraphicFramePr/>
          </xdr:nvGraphicFramePr>
          <xdr:xfrm>
            <a:off x="0" y="0"/>
            <a:ext cx="0" cy="0"/>
          </xdr:xfrm>
          <a:graphic>
            <a:graphicData uri="http://schemas.microsoft.com/office/drawing/2010/slicer">
              <sle:slicer xmlns:sle="http://schemas.microsoft.com/office/drawing/2010/slicer" name="Corrected Review"/>
            </a:graphicData>
          </a:graphic>
        </xdr:graphicFrame>
      </mc:Choice>
      <mc:Fallback xmlns="">
        <xdr:sp macro="" textlink="">
          <xdr:nvSpPr>
            <xdr:cNvPr id="0" name=""/>
            <xdr:cNvSpPr>
              <a:spLocks noTextEdit="1"/>
            </xdr:cNvSpPr>
          </xdr:nvSpPr>
          <xdr:spPr>
            <a:xfrm>
              <a:off x="9093200" y="419100"/>
              <a:ext cx="1644650" cy="213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171450</xdr:colOff>
      <xdr:row>2</xdr:row>
      <xdr:rowOff>12701</xdr:rowOff>
    </xdr:from>
    <xdr:to>
      <xdr:col>8</xdr:col>
      <xdr:colOff>495300</xdr:colOff>
      <xdr:row>14</xdr:row>
      <xdr:rowOff>12701</xdr:rowOff>
    </xdr:to>
    <mc:AlternateContent xmlns:mc="http://schemas.openxmlformats.org/markup-compatibility/2006" xmlns:a14="http://schemas.microsoft.com/office/drawing/2010/main">
      <mc:Choice Requires="a14">
        <xdr:graphicFrame macro="">
          <xdr:nvGraphicFramePr>
            <xdr:cNvPr id="5" name="Rating Out of 5">
              <a:extLst>
                <a:ext uri="{FF2B5EF4-FFF2-40B4-BE49-F238E27FC236}">
                  <a16:creationId xmlns:a16="http://schemas.microsoft.com/office/drawing/2014/main" id="{B8C7A21C-02E5-E6B6-EDFE-A8C83788BEAA}"/>
                </a:ext>
              </a:extLst>
            </xdr:cNvPr>
            <xdr:cNvGraphicFramePr/>
          </xdr:nvGraphicFramePr>
          <xdr:xfrm>
            <a:off x="0" y="0"/>
            <a:ext cx="0" cy="0"/>
          </xdr:xfrm>
          <a:graphic>
            <a:graphicData uri="http://schemas.microsoft.com/office/drawing/2010/slicer">
              <sle:slicer xmlns:sle="http://schemas.microsoft.com/office/drawing/2010/slicer" name="Rating Out of 5"/>
            </a:graphicData>
          </a:graphic>
        </xdr:graphicFrame>
      </mc:Choice>
      <mc:Fallback xmlns="">
        <xdr:sp macro="" textlink="">
          <xdr:nvSpPr>
            <xdr:cNvPr id="0" name=""/>
            <xdr:cNvSpPr>
              <a:spLocks noTextEdit="1"/>
            </xdr:cNvSpPr>
          </xdr:nvSpPr>
          <xdr:spPr>
            <a:xfrm>
              <a:off x="5784850" y="311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2</xdr:row>
      <xdr:rowOff>25400</xdr:rowOff>
    </xdr:from>
    <xdr:to>
      <xdr:col>11</xdr:col>
      <xdr:colOff>203200</xdr:colOff>
      <xdr:row>14</xdr:row>
      <xdr:rowOff>19051</xdr:rowOff>
    </xdr:to>
    <mc:AlternateContent xmlns:mc="http://schemas.openxmlformats.org/markup-compatibility/2006" xmlns:a14="http://schemas.microsoft.com/office/drawing/2010/main">
      <mc:Choice Requires="a14">
        <xdr:graphicFrame macro="">
          <xdr:nvGraphicFramePr>
            <xdr:cNvPr id="6" name="Rating Category">
              <a:extLst>
                <a:ext uri="{FF2B5EF4-FFF2-40B4-BE49-F238E27FC236}">
                  <a16:creationId xmlns:a16="http://schemas.microsoft.com/office/drawing/2014/main" id="{B24FC92D-C519-F531-9BAF-A05D69F2966C}"/>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7550150" y="393700"/>
              <a:ext cx="1479550" cy="2203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177800</xdr:colOff>
      <xdr:row>1</xdr:row>
      <xdr:rowOff>171450</xdr:rowOff>
    </xdr:from>
    <xdr:to>
      <xdr:col>9</xdr:col>
      <xdr:colOff>603250</xdr:colOff>
      <xdr:row>12</xdr:row>
      <xdr:rowOff>76200</xdr:rowOff>
    </xdr:to>
    <xdr:graphicFrame macro="">
      <xdr:nvGraphicFramePr>
        <xdr:cNvPr id="2" name="Chart 1">
          <a:extLst>
            <a:ext uri="{FF2B5EF4-FFF2-40B4-BE49-F238E27FC236}">
              <a16:creationId xmlns:a16="http://schemas.microsoft.com/office/drawing/2014/main" id="{FE54B772-5FC3-4AF3-99F4-F0BFA8695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123824</xdr:colOff>
      <xdr:row>2</xdr:row>
      <xdr:rowOff>6351</xdr:rowOff>
    </xdr:from>
    <xdr:to>
      <xdr:col>27</xdr:col>
      <xdr:colOff>133350</xdr:colOff>
      <xdr:row>14</xdr:row>
      <xdr:rowOff>171450</xdr:rowOff>
    </xdr:to>
    <xdr:graphicFrame macro="">
      <xdr:nvGraphicFramePr>
        <xdr:cNvPr id="4" name="Chart 3">
          <a:extLst>
            <a:ext uri="{FF2B5EF4-FFF2-40B4-BE49-F238E27FC236}">
              <a16:creationId xmlns:a16="http://schemas.microsoft.com/office/drawing/2014/main" id="{3A04F788-A18B-ABF4-E0BF-9FA65545D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317500</xdr:colOff>
      <xdr:row>2</xdr:row>
      <xdr:rowOff>28575</xdr:rowOff>
    </xdr:from>
    <xdr:to>
      <xdr:col>10</xdr:col>
      <xdr:colOff>12700</xdr:colOff>
      <xdr:row>17</xdr:row>
      <xdr:rowOff>9525</xdr:rowOff>
    </xdr:to>
    <xdr:graphicFrame macro="">
      <xdr:nvGraphicFramePr>
        <xdr:cNvPr id="2" name="Chart 1">
          <a:extLst>
            <a:ext uri="{FF2B5EF4-FFF2-40B4-BE49-F238E27FC236}">
              <a16:creationId xmlns:a16="http://schemas.microsoft.com/office/drawing/2014/main" id="{4F2F8F7A-F827-8498-C0E4-0694FA0FC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209549</xdr:colOff>
      <xdr:row>2</xdr:row>
      <xdr:rowOff>9525</xdr:rowOff>
    </xdr:from>
    <xdr:to>
      <xdr:col>10</xdr:col>
      <xdr:colOff>571500</xdr:colOff>
      <xdr:row>13</xdr:row>
      <xdr:rowOff>142875</xdr:rowOff>
    </xdr:to>
    <xdr:graphicFrame macro="">
      <xdr:nvGraphicFramePr>
        <xdr:cNvPr id="2" name="Chart 1">
          <a:extLst>
            <a:ext uri="{FF2B5EF4-FFF2-40B4-BE49-F238E27FC236}">
              <a16:creationId xmlns:a16="http://schemas.microsoft.com/office/drawing/2014/main" id="{F44B54B1-F928-D140-654C-F9268C112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114300</xdr:colOff>
      <xdr:row>1</xdr:row>
      <xdr:rowOff>177800</xdr:rowOff>
    </xdr:from>
    <xdr:to>
      <xdr:col>9</xdr:col>
      <xdr:colOff>177800</xdr:colOff>
      <xdr:row>14</xdr:row>
      <xdr:rowOff>101600</xdr:rowOff>
    </xdr:to>
    <xdr:graphicFrame macro="">
      <xdr:nvGraphicFramePr>
        <xdr:cNvPr id="2" name="Chart 1">
          <a:extLst>
            <a:ext uri="{FF2B5EF4-FFF2-40B4-BE49-F238E27FC236}">
              <a16:creationId xmlns:a16="http://schemas.microsoft.com/office/drawing/2014/main" id="{084A11D9-D8C8-01CA-39F3-C5F6323AB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311150</xdr:colOff>
      <xdr:row>1</xdr:row>
      <xdr:rowOff>107950</xdr:rowOff>
    </xdr:from>
    <xdr:to>
      <xdr:col>10</xdr:col>
      <xdr:colOff>393700</xdr:colOff>
      <xdr:row>15</xdr:row>
      <xdr:rowOff>146049</xdr:rowOff>
    </xdr:to>
    <xdr:graphicFrame macro="">
      <xdr:nvGraphicFramePr>
        <xdr:cNvPr id="2" name="Chart 1">
          <a:extLst>
            <a:ext uri="{FF2B5EF4-FFF2-40B4-BE49-F238E27FC236}">
              <a16:creationId xmlns:a16="http://schemas.microsoft.com/office/drawing/2014/main" id="{B03732F7-46AB-7BC7-4E28-DA341AA52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146050</xdr:colOff>
      <xdr:row>1</xdr:row>
      <xdr:rowOff>136525</xdr:rowOff>
    </xdr:from>
    <xdr:to>
      <xdr:col>9</xdr:col>
      <xdr:colOff>450850</xdr:colOff>
      <xdr:row>16</xdr:row>
      <xdr:rowOff>117475</xdr:rowOff>
    </xdr:to>
    <xdr:graphicFrame macro="">
      <xdr:nvGraphicFramePr>
        <xdr:cNvPr id="2" name="Chart 1">
          <a:extLst>
            <a:ext uri="{FF2B5EF4-FFF2-40B4-BE49-F238E27FC236}">
              <a16:creationId xmlns:a16="http://schemas.microsoft.com/office/drawing/2014/main" id="{B7C3370C-C0DD-4C6A-D202-0CFC80626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476250</xdr:colOff>
      <xdr:row>1</xdr:row>
      <xdr:rowOff>38099</xdr:rowOff>
    </xdr:from>
    <xdr:to>
      <xdr:col>10</xdr:col>
      <xdr:colOff>146050</xdr:colOff>
      <xdr:row>14</xdr:row>
      <xdr:rowOff>158750</xdr:rowOff>
    </xdr:to>
    <xdr:graphicFrame macro="">
      <xdr:nvGraphicFramePr>
        <xdr:cNvPr id="3" name="Chart 2">
          <a:extLst>
            <a:ext uri="{FF2B5EF4-FFF2-40B4-BE49-F238E27FC236}">
              <a16:creationId xmlns:a16="http://schemas.microsoft.com/office/drawing/2014/main" id="{7AF43951-C009-CC26-8BC3-A8EA6F652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444498</xdr:colOff>
      <xdr:row>1</xdr:row>
      <xdr:rowOff>108857</xdr:rowOff>
    </xdr:from>
    <xdr:to>
      <xdr:col>11</xdr:col>
      <xdr:colOff>172357</xdr:colOff>
      <xdr:row>27</xdr:row>
      <xdr:rowOff>99787</xdr:rowOff>
    </xdr:to>
    <xdr:graphicFrame macro="">
      <xdr:nvGraphicFramePr>
        <xdr:cNvPr id="2" name="Chart 1">
          <a:extLst>
            <a:ext uri="{FF2B5EF4-FFF2-40B4-BE49-F238E27FC236}">
              <a16:creationId xmlns:a16="http://schemas.microsoft.com/office/drawing/2014/main" id="{898EDF10-081F-4519-AD98-E4DAA8664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294822</xdr:colOff>
      <xdr:row>4</xdr:row>
      <xdr:rowOff>154517</xdr:rowOff>
    </xdr:from>
    <xdr:to>
      <xdr:col>5</xdr:col>
      <xdr:colOff>336550</xdr:colOff>
      <xdr:row>8</xdr:row>
      <xdr:rowOff>124733</xdr:rowOff>
    </xdr:to>
    <xdr:sp macro="" textlink="">
      <xdr:nvSpPr>
        <xdr:cNvPr id="3" name="Rectangle: Rounded Corners 2">
          <a:extLst>
            <a:ext uri="{FF2B5EF4-FFF2-40B4-BE49-F238E27FC236}">
              <a16:creationId xmlns:a16="http://schemas.microsoft.com/office/drawing/2014/main" id="{947D74C7-470E-2DF5-2194-FB56947F15E3}"/>
            </a:ext>
          </a:extLst>
        </xdr:cNvPr>
        <xdr:cNvSpPr/>
      </xdr:nvSpPr>
      <xdr:spPr>
        <a:xfrm>
          <a:off x="1519465" y="880231"/>
          <a:ext cx="1878692" cy="51450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400" b="1">
              <a:solidFill>
                <a:sysClr val="windowText" lastClr="000000"/>
              </a:solidFill>
              <a:latin typeface="Times New Roman" panose="02020603050405020304" pitchFamily="18" charset="0"/>
              <a:cs typeface="Times New Roman" panose="02020603050405020304" pitchFamily="18" charset="0"/>
            </a:rPr>
            <a:t>Total</a:t>
          </a:r>
          <a:r>
            <a:rPr lang="en-US" sz="1400" b="1" baseline="0">
              <a:solidFill>
                <a:sysClr val="windowText" lastClr="000000"/>
              </a:solidFill>
              <a:latin typeface="Times New Roman" panose="02020603050405020304" pitchFamily="18" charset="0"/>
              <a:cs typeface="Times New Roman" panose="02020603050405020304" pitchFamily="18" charset="0"/>
            </a:rPr>
            <a:t> Products</a:t>
          </a:r>
        </a:p>
        <a:p>
          <a:pPr algn="ctr"/>
          <a:r>
            <a:rPr lang="en-US" sz="1400" b="1" baseline="0">
              <a:solidFill>
                <a:sysClr val="windowText" lastClr="000000"/>
              </a:solidFill>
              <a:latin typeface="Times New Roman" panose="02020603050405020304" pitchFamily="18" charset="0"/>
              <a:cs typeface="Times New Roman" panose="02020603050405020304" pitchFamily="18" charset="0"/>
            </a:rPr>
            <a:t>116</a:t>
          </a:r>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385536</xdr:colOff>
      <xdr:row>4</xdr:row>
      <xdr:rowOff>139699</xdr:rowOff>
    </xdr:from>
    <xdr:to>
      <xdr:col>9</xdr:col>
      <xdr:colOff>82552</xdr:colOff>
      <xdr:row>8</xdr:row>
      <xdr:rowOff>124732</xdr:rowOff>
    </xdr:to>
    <xdr:sp macro="" textlink="">
      <xdr:nvSpPr>
        <xdr:cNvPr id="5" name="Rectangle: Rounded Corners 4">
          <a:extLst>
            <a:ext uri="{FF2B5EF4-FFF2-40B4-BE49-F238E27FC236}">
              <a16:creationId xmlns:a16="http://schemas.microsoft.com/office/drawing/2014/main" id="{7B7748BD-E798-1A2D-9738-0FBF69212CE4}"/>
            </a:ext>
          </a:extLst>
        </xdr:cNvPr>
        <xdr:cNvSpPr/>
      </xdr:nvSpPr>
      <xdr:spPr>
        <a:xfrm>
          <a:off x="3447143" y="865413"/>
          <a:ext cx="2146302" cy="710748"/>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400" b="1">
              <a:solidFill>
                <a:sysClr val="windowText" lastClr="000000"/>
              </a:solidFill>
              <a:latin typeface="Times New Roman" panose="02020603050405020304" pitchFamily="18" charset="0"/>
              <a:cs typeface="Times New Roman" panose="02020603050405020304" pitchFamily="18" charset="0"/>
            </a:rPr>
            <a:t>Average</a:t>
          </a:r>
          <a:r>
            <a:rPr lang="en-US" sz="1400" b="1" baseline="0">
              <a:solidFill>
                <a:sysClr val="windowText" lastClr="000000"/>
              </a:solidFill>
              <a:latin typeface="Times New Roman" panose="02020603050405020304" pitchFamily="18" charset="0"/>
              <a:cs typeface="Times New Roman" panose="02020603050405020304" pitchFamily="18" charset="0"/>
            </a:rPr>
            <a:t> Rating</a:t>
          </a:r>
        </a:p>
        <a:p>
          <a:pPr algn="ctr"/>
          <a:r>
            <a:rPr lang="en-US" sz="1400" b="1">
              <a:solidFill>
                <a:sysClr val="windowText" lastClr="000000"/>
              </a:solidFill>
              <a:latin typeface="Times New Roman" panose="02020603050405020304" pitchFamily="18" charset="0"/>
              <a:cs typeface="Times New Roman" panose="02020603050405020304" pitchFamily="18" charset="0"/>
            </a:rPr>
            <a:t>3.844</a:t>
          </a:r>
        </a:p>
      </xdr:txBody>
    </xdr:sp>
    <xdr:clientData/>
  </xdr:twoCellAnchor>
  <xdr:twoCellAnchor>
    <xdr:from>
      <xdr:col>9</xdr:col>
      <xdr:colOff>124732</xdr:colOff>
      <xdr:row>4</xdr:row>
      <xdr:rowOff>135467</xdr:rowOff>
    </xdr:from>
    <xdr:to>
      <xdr:col>13</xdr:col>
      <xdr:colOff>294821</xdr:colOff>
      <xdr:row>8</xdr:row>
      <xdr:rowOff>124732</xdr:rowOff>
    </xdr:to>
    <xdr:sp macro="" textlink="">
      <xdr:nvSpPr>
        <xdr:cNvPr id="6" name="Rectangle: Rounded Corners 5">
          <a:extLst>
            <a:ext uri="{FF2B5EF4-FFF2-40B4-BE49-F238E27FC236}">
              <a16:creationId xmlns:a16="http://schemas.microsoft.com/office/drawing/2014/main" id="{1C6BDA33-6AD5-40B1-97D9-E47B6E267791}"/>
            </a:ext>
          </a:extLst>
        </xdr:cNvPr>
        <xdr:cNvSpPr/>
      </xdr:nvSpPr>
      <xdr:spPr>
        <a:xfrm>
          <a:off x="5635625" y="861181"/>
          <a:ext cx="2619375" cy="533551"/>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400" b="1">
              <a:solidFill>
                <a:sysClr val="windowText" lastClr="000000"/>
              </a:solidFill>
              <a:latin typeface="Times New Roman" panose="02020603050405020304" pitchFamily="18" charset="0"/>
              <a:cs typeface="Times New Roman" panose="02020603050405020304" pitchFamily="18" charset="0"/>
            </a:rPr>
            <a:t>Average</a:t>
          </a:r>
          <a:r>
            <a:rPr lang="en-US" sz="1400" b="1" baseline="0">
              <a:solidFill>
                <a:sysClr val="windowText" lastClr="000000"/>
              </a:solidFill>
              <a:latin typeface="Times New Roman" panose="02020603050405020304" pitchFamily="18" charset="0"/>
              <a:cs typeface="Times New Roman" panose="02020603050405020304" pitchFamily="18" charset="0"/>
            </a:rPr>
            <a:t> Discount Percentage</a:t>
          </a:r>
        </a:p>
        <a:p>
          <a:pPr algn="ctr"/>
          <a:r>
            <a:rPr lang="en-US" sz="1400" b="1">
              <a:solidFill>
                <a:sysClr val="windowText" lastClr="000000"/>
              </a:solidFill>
              <a:latin typeface="Times New Roman" panose="02020603050405020304" pitchFamily="18" charset="0"/>
              <a:cs typeface="Times New Roman" panose="02020603050405020304" pitchFamily="18" charset="0"/>
            </a:rPr>
            <a:t>37%</a:t>
          </a:r>
        </a:p>
      </xdr:txBody>
    </xdr:sp>
    <xdr:clientData/>
  </xdr:twoCellAnchor>
  <xdr:twoCellAnchor>
    <xdr:from>
      <xdr:col>13</xdr:col>
      <xdr:colOff>317500</xdr:colOff>
      <xdr:row>4</xdr:row>
      <xdr:rowOff>120649</xdr:rowOff>
    </xdr:from>
    <xdr:to>
      <xdr:col>16</xdr:col>
      <xdr:colOff>90714</xdr:colOff>
      <xdr:row>8</xdr:row>
      <xdr:rowOff>124732</xdr:rowOff>
    </xdr:to>
    <xdr:sp macro="" textlink="">
      <xdr:nvSpPr>
        <xdr:cNvPr id="7" name="Rectangle: Rounded Corners 6">
          <a:extLst>
            <a:ext uri="{FF2B5EF4-FFF2-40B4-BE49-F238E27FC236}">
              <a16:creationId xmlns:a16="http://schemas.microsoft.com/office/drawing/2014/main" id="{78374CEE-8311-49CA-A34B-A0053BA56AC0}"/>
            </a:ext>
          </a:extLst>
        </xdr:cNvPr>
        <xdr:cNvSpPr/>
      </xdr:nvSpPr>
      <xdr:spPr>
        <a:xfrm>
          <a:off x="8277679" y="846363"/>
          <a:ext cx="1610178" cy="729798"/>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400" b="1">
              <a:solidFill>
                <a:sysClr val="windowText" lastClr="000000"/>
              </a:solidFill>
              <a:latin typeface="Times New Roman" panose="02020603050405020304" pitchFamily="18" charset="0"/>
              <a:cs typeface="Times New Roman" panose="02020603050405020304" pitchFamily="18" charset="0"/>
            </a:rPr>
            <a:t>Average</a:t>
          </a:r>
          <a:r>
            <a:rPr lang="en-US" sz="1400" b="1" baseline="0">
              <a:solidFill>
                <a:sysClr val="windowText" lastClr="000000"/>
              </a:solidFill>
              <a:latin typeface="Times New Roman" panose="02020603050405020304" pitchFamily="18" charset="0"/>
              <a:cs typeface="Times New Roman" panose="02020603050405020304" pitchFamily="18" charset="0"/>
            </a:rPr>
            <a:t> Rating</a:t>
          </a:r>
        </a:p>
        <a:p>
          <a:pPr algn="ctr"/>
          <a:r>
            <a:rPr lang="en-US" sz="1400" b="1">
              <a:solidFill>
                <a:sysClr val="windowText" lastClr="000000"/>
              </a:solidFill>
              <a:latin typeface="Times New Roman" panose="02020603050405020304" pitchFamily="18" charset="0"/>
              <a:cs typeface="Times New Roman" panose="02020603050405020304" pitchFamily="18" charset="0"/>
            </a:rPr>
            <a:t>3.844</a:t>
          </a:r>
        </a:p>
      </xdr:txBody>
    </xdr:sp>
    <xdr:clientData/>
  </xdr:twoCellAnchor>
  <xdr:twoCellAnchor>
    <xdr:from>
      <xdr:col>16</xdr:col>
      <xdr:colOff>127000</xdr:colOff>
      <xdr:row>4</xdr:row>
      <xdr:rowOff>135465</xdr:rowOff>
    </xdr:from>
    <xdr:to>
      <xdr:col>18</xdr:col>
      <xdr:colOff>482600</xdr:colOff>
      <xdr:row>8</xdr:row>
      <xdr:rowOff>124732</xdr:rowOff>
    </xdr:to>
    <xdr:sp macro="" textlink="">
      <xdr:nvSpPr>
        <xdr:cNvPr id="8" name="Rectangle: Rounded Corners 7">
          <a:extLst>
            <a:ext uri="{FF2B5EF4-FFF2-40B4-BE49-F238E27FC236}">
              <a16:creationId xmlns:a16="http://schemas.microsoft.com/office/drawing/2014/main" id="{A838557A-D354-4EE5-898C-2663FE9A6C4D}"/>
            </a:ext>
          </a:extLst>
        </xdr:cNvPr>
        <xdr:cNvSpPr/>
      </xdr:nvSpPr>
      <xdr:spPr>
        <a:xfrm>
          <a:off x="9924143" y="861179"/>
          <a:ext cx="1580243" cy="71498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400" b="1">
              <a:solidFill>
                <a:sysClr val="windowText" lastClr="000000"/>
              </a:solidFill>
              <a:latin typeface="Times New Roman" panose="02020603050405020304" pitchFamily="18" charset="0"/>
              <a:cs typeface="Times New Roman" panose="02020603050405020304" pitchFamily="18" charset="0"/>
            </a:rPr>
            <a:t>Total</a:t>
          </a:r>
          <a:r>
            <a:rPr lang="en-US" sz="1400" b="1" baseline="0">
              <a:solidFill>
                <a:sysClr val="windowText" lastClr="000000"/>
              </a:solidFill>
              <a:latin typeface="Times New Roman" panose="02020603050405020304" pitchFamily="18" charset="0"/>
              <a:cs typeface="Times New Roman" panose="02020603050405020304" pitchFamily="18" charset="0"/>
            </a:rPr>
            <a:t> Reviews</a:t>
          </a:r>
        </a:p>
        <a:p>
          <a:pPr algn="ctr"/>
          <a:r>
            <a:rPr lang="en-US" sz="1400" b="1" baseline="0">
              <a:solidFill>
                <a:sysClr val="windowText" lastClr="000000"/>
              </a:solidFill>
              <a:latin typeface="Times New Roman" panose="02020603050405020304" pitchFamily="18" charset="0"/>
              <a:cs typeface="Times New Roman" panose="02020603050405020304" pitchFamily="18" charset="0"/>
            </a:rPr>
            <a:t>723</a:t>
          </a:r>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518582</xdr:colOff>
      <xdr:row>9</xdr:row>
      <xdr:rowOff>0</xdr:rowOff>
    </xdr:from>
    <xdr:to>
      <xdr:col>7</xdr:col>
      <xdr:colOff>387349</xdr:colOff>
      <xdr:row>21</xdr:row>
      <xdr:rowOff>31750</xdr:rowOff>
    </xdr:to>
    <xdr:graphicFrame macro="">
      <xdr:nvGraphicFramePr>
        <xdr:cNvPr id="9" name="Chart 8">
          <a:extLst>
            <a:ext uri="{FF2B5EF4-FFF2-40B4-BE49-F238E27FC236}">
              <a16:creationId xmlns:a16="http://schemas.microsoft.com/office/drawing/2014/main" id="{0FEC70D6-41C2-4138-8376-C1E67AEE4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455084</xdr:colOff>
      <xdr:row>9</xdr:row>
      <xdr:rowOff>2117</xdr:rowOff>
    </xdr:from>
    <xdr:to>
      <xdr:col>12</xdr:col>
      <xdr:colOff>285750</xdr:colOff>
      <xdr:row>21</xdr:row>
      <xdr:rowOff>21166</xdr:rowOff>
    </xdr:to>
    <xdr:graphicFrame macro="">
      <xdr:nvGraphicFramePr>
        <xdr:cNvPr id="10" name="Chart 9">
          <a:extLst>
            <a:ext uri="{FF2B5EF4-FFF2-40B4-BE49-F238E27FC236}">
              <a16:creationId xmlns:a16="http://schemas.microsoft.com/office/drawing/2014/main" id="{61DAE08D-7BCF-452C-B012-A50C746CA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354188</xdr:colOff>
      <xdr:row>9</xdr:row>
      <xdr:rowOff>14111</xdr:rowOff>
    </xdr:from>
    <xdr:to>
      <xdr:col>18</xdr:col>
      <xdr:colOff>493889</xdr:colOff>
      <xdr:row>21</xdr:row>
      <xdr:rowOff>45861</xdr:rowOff>
    </xdr:to>
    <xdr:graphicFrame macro="">
      <xdr:nvGraphicFramePr>
        <xdr:cNvPr id="11" name="Chart 10">
          <a:extLst>
            <a:ext uri="{FF2B5EF4-FFF2-40B4-BE49-F238E27FC236}">
              <a16:creationId xmlns:a16="http://schemas.microsoft.com/office/drawing/2014/main" id="{707827E1-C4FE-48A8-9D8F-8EF83C0CA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465667</xdr:colOff>
      <xdr:row>21</xdr:row>
      <xdr:rowOff>95251</xdr:rowOff>
    </xdr:from>
    <xdr:to>
      <xdr:col>12</xdr:col>
      <xdr:colOff>296333</xdr:colOff>
      <xdr:row>37</xdr:row>
      <xdr:rowOff>0</xdr:rowOff>
    </xdr:to>
    <xdr:graphicFrame macro="">
      <xdr:nvGraphicFramePr>
        <xdr:cNvPr id="13" name="Chart 12">
          <a:extLst>
            <a:ext uri="{FF2B5EF4-FFF2-40B4-BE49-F238E27FC236}">
              <a16:creationId xmlns:a16="http://schemas.microsoft.com/office/drawing/2014/main" id="{AF80B379-D6DD-43B5-BB2D-06C86EB3B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359833</xdr:colOff>
      <xdr:row>21</xdr:row>
      <xdr:rowOff>105833</xdr:rowOff>
    </xdr:from>
    <xdr:to>
      <xdr:col>18</xdr:col>
      <xdr:colOff>497418</xdr:colOff>
      <xdr:row>37</xdr:row>
      <xdr:rowOff>21167</xdr:rowOff>
    </xdr:to>
    <xdr:graphicFrame macro="">
      <xdr:nvGraphicFramePr>
        <xdr:cNvPr id="14" name="Chart 13">
          <a:extLst>
            <a:ext uri="{FF2B5EF4-FFF2-40B4-BE49-F238E27FC236}">
              <a16:creationId xmlns:a16="http://schemas.microsoft.com/office/drawing/2014/main" id="{AC7429D0-8B76-49DE-A6BB-C864B9746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52917</xdr:colOff>
      <xdr:row>9</xdr:row>
      <xdr:rowOff>-1</xdr:rowOff>
    </xdr:from>
    <xdr:to>
      <xdr:col>2</xdr:col>
      <xdr:colOff>465665</xdr:colOff>
      <xdr:row>15</xdr:row>
      <xdr:rowOff>126998</xdr:rowOff>
    </xdr:to>
    <mc:AlternateContent xmlns:mc="http://schemas.openxmlformats.org/markup-compatibility/2006" xmlns:a14="http://schemas.microsoft.com/office/drawing/2010/main">
      <mc:Choice Requires="a14">
        <xdr:graphicFrame macro="">
          <xdr:nvGraphicFramePr>
            <xdr:cNvPr id="2" name="Discount Category 1">
              <a:extLst>
                <a:ext uri="{FF2B5EF4-FFF2-40B4-BE49-F238E27FC236}">
                  <a16:creationId xmlns:a16="http://schemas.microsoft.com/office/drawing/2014/main" id="{7C732104-CBD7-4AC4-9321-828C1967F868}"/>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52917" y="1632856"/>
              <a:ext cx="1637391" cy="1215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52917</xdr:colOff>
      <xdr:row>15</xdr:row>
      <xdr:rowOff>169334</xdr:rowOff>
    </xdr:from>
    <xdr:to>
      <xdr:col>2</xdr:col>
      <xdr:colOff>444500</xdr:colOff>
      <xdr:row>22</xdr:row>
      <xdr:rowOff>84669</xdr:rowOff>
    </xdr:to>
    <mc:AlternateContent xmlns:mc="http://schemas.openxmlformats.org/markup-compatibility/2006" xmlns:a14="http://schemas.microsoft.com/office/drawing/2010/main">
      <mc:Choice Requires="a14">
        <xdr:graphicFrame macro="">
          <xdr:nvGraphicFramePr>
            <xdr:cNvPr id="16" name="Rating Category 1">
              <a:extLst>
                <a:ext uri="{FF2B5EF4-FFF2-40B4-BE49-F238E27FC236}">
                  <a16:creationId xmlns:a16="http://schemas.microsoft.com/office/drawing/2014/main" id="{1F2A4381-5D7F-49FE-88E3-BBA4A83C0B13}"/>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52917" y="2890763"/>
              <a:ext cx="1616226" cy="1185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116418</xdr:rowOff>
    </xdr:from>
    <xdr:to>
      <xdr:col>2</xdr:col>
      <xdr:colOff>433916</xdr:colOff>
      <xdr:row>36</xdr:row>
      <xdr:rowOff>158749</xdr:rowOff>
    </xdr:to>
    <mc:AlternateContent xmlns:mc="http://schemas.openxmlformats.org/markup-compatibility/2006" xmlns:a14="http://schemas.microsoft.com/office/drawing/2010/main">
      <mc:Choice Requires="a14">
        <xdr:graphicFrame macro="">
          <xdr:nvGraphicFramePr>
            <xdr:cNvPr id="17" name="Rating Out of 6">
              <a:extLst>
                <a:ext uri="{FF2B5EF4-FFF2-40B4-BE49-F238E27FC236}">
                  <a16:creationId xmlns:a16="http://schemas.microsoft.com/office/drawing/2014/main" id="{88476DB0-000E-4050-9ACF-5D07CA33DF8E}"/>
                </a:ext>
              </a:extLst>
            </xdr:cNvPr>
            <xdr:cNvGraphicFramePr/>
          </xdr:nvGraphicFramePr>
          <xdr:xfrm>
            <a:off x="0" y="0"/>
            <a:ext cx="0" cy="0"/>
          </xdr:xfrm>
          <a:graphic>
            <a:graphicData uri="http://schemas.microsoft.com/office/drawing/2010/slicer">
              <sle:slicer xmlns:sle="http://schemas.microsoft.com/office/drawing/2010/slicer" name="Rating Out of 6"/>
            </a:graphicData>
          </a:graphic>
        </xdr:graphicFrame>
      </mc:Choice>
      <mc:Fallback xmlns="">
        <xdr:sp macro="" textlink="">
          <xdr:nvSpPr>
            <xdr:cNvPr id="0" name=""/>
            <xdr:cNvSpPr>
              <a:spLocks noTextEdit="1"/>
            </xdr:cNvSpPr>
          </xdr:nvSpPr>
          <xdr:spPr>
            <a:xfrm>
              <a:off x="0" y="4107847"/>
              <a:ext cx="1658559" cy="2582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118391</xdr:colOff>
      <xdr:row>1</xdr:row>
      <xdr:rowOff>161441</xdr:rowOff>
    </xdr:from>
    <xdr:to>
      <xdr:col>17</xdr:col>
      <xdr:colOff>247543</xdr:colOff>
      <xdr:row>4</xdr:row>
      <xdr:rowOff>86101</xdr:rowOff>
    </xdr:to>
    <xdr:sp macro="" textlink="">
      <xdr:nvSpPr>
        <xdr:cNvPr id="18" name="Rectangle: Rounded Corners 17">
          <a:extLst>
            <a:ext uri="{FF2B5EF4-FFF2-40B4-BE49-F238E27FC236}">
              <a16:creationId xmlns:a16="http://schemas.microsoft.com/office/drawing/2014/main" id="{9FF48007-5C64-4D3A-868A-ADA429619927}"/>
            </a:ext>
          </a:extLst>
        </xdr:cNvPr>
        <xdr:cNvSpPr/>
      </xdr:nvSpPr>
      <xdr:spPr>
        <a:xfrm>
          <a:off x="2572289" y="527373"/>
          <a:ext cx="8104322" cy="473559"/>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400" b="1">
              <a:solidFill>
                <a:sysClr val="windowText" lastClr="000000"/>
              </a:solidFill>
              <a:latin typeface="Times New Roman" panose="02020603050405020304" pitchFamily="18" charset="0"/>
              <a:cs typeface="Times New Roman" panose="02020603050405020304" pitchFamily="18" charset="0"/>
            </a:rPr>
            <a:t>SALES PERFORMANCE</a:t>
          </a:r>
          <a:r>
            <a:rPr lang="en-US" sz="1400" b="1" baseline="0">
              <a:solidFill>
                <a:sysClr val="windowText" lastClr="000000"/>
              </a:solidFill>
              <a:latin typeface="Times New Roman" panose="02020603050405020304" pitchFamily="18" charset="0"/>
              <a:cs typeface="Times New Roman" panose="02020603050405020304" pitchFamily="18" charset="0"/>
            </a:rPr>
            <a:t> ANALYSIS</a:t>
          </a:r>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544286</xdr:colOff>
      <xdr:row>21</xdr:row>
      <xdr:rowOff>102053</xdr:rowOff>
    </xdr:from>
    <xdr:to>
      <xdr:col>7</xdr:col>
      <xdr:colOff>408214</xdr:colOff>
      <xdr:row>37</xdr:row>
      <xdr:rowOff>22679</xdr:rowOff>
    </xdr:to>
    <xdr:graphicFrame macro="">
      <xdr:nvGraphicFramePr>
        <xdr:cNvPr id="19" name="Chart 18">
          <a:extLst>
            <a:ext uri="{FF2B5EF4-FFF2-40B4-BE49-F238E27FC236}">
              <a16:creationId xmlns:a16="http://schemas.microsoft.com/office/drawing/2014/main" id="{18DEBEC0-0A64-4D21-ABDE-FD2E664AC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537754398145" createdVersion="4" refreshedVersion="8" minRefreshableVersion="3" recordCount="115" xr:uid="{043582CA-5C3C-4F1A-9015-94ECB16E10C2}">
  <cacheSource type="worksheet">
    <worksheetSource ref="A1:J116" sheet="Excel_jumia"/>
  </cacheSource>
  <cacheFields count="10">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s v="High"/>
        <s v="Low"/>
      </sharedItems>
    </cacheField>
    <cacheField name="Discount Amount" numFmtId="164">
      <sharedItems containsSemiMixedTypes="0" containsString="0" containsNumber="1" containsInteger="1" minValue="24" maxValue="2585"/>
    </cacheField>
    <cacheField name="Review" numFmtId="0">
      <sharedItems containsSemiMixedTypes="0" containsString="0" containsNumber="1" containsInteger="1" minValue="-69" maxValue="0"/>
    </cacheField>
    <cacheField name="Corrected Review"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Rating Out of 5" numFmtId="0">
      <sharedItems containsSemiMixedTypes="0" containsString="0" containsNumber="1" minValue="2" maxValue="5" count="22">
        <n v="4.5"/>
        <n v="4.0999999999999996"/>
        <n v="4.5999999999999996"/>
        <n v="4.7"/>
        <n v="4.8"/>
        <n v="4"/>
        <n v="3.8"/>
        <n v="4.2"/>
        <n v="5"/>
        <n v="3.3"/>
        <n v="4.4000000000000004"/>
        <n v="4.3"/>
        <n v="2.5"/>
        <n v="3"/>
        <n v="2.1"/>
        <n v="2.8"/>
        <n v="2.7"/>
        <n v="2.9"/>
        <n v="2.2000000000000002"/>
        <n v="2.2999999999999998"/>
        <n v="2.6"/>
        <n v="2"/>
      </sharedItems>
    </cacheField>
    <cacheField name="Rating Category" numFmtId="0">
      <sharedItems count="3">
        <s v="Excellent"/>
        <s v="Average"/>
        <s v="poor"/>
      </sharedItems>
    </cacheField>
  </cacheFields>
  <extLst>
    <ext xmlns:x14="http://schemas.microsoft.com/office/spreadsheetml/2009/9/main" uri="{725AE2AE-9491-48be-B2B4-4EB974FC3084}">
      <x14:pivotCacheDefinition pivotCacheId="1365892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n v="950"/>
    <n v="1525"/>
    <x v="0"/>
    <x v="0"/>
    <n v="575"/>
    <n v="-2"/>
    <x v="0"/>
    <x v="0"/>
    <x v="0"/>
  </r>
  <r>
    <x v="1"/>
    <n v="527"/>
    <n v="999"/>
    <x v="1"/>
    <x v="1"/>
    <n v="472"/>
    <n v="-14"/>
    <x v="1"/>
    <x v="1"/>
    <x v="1"/>
  </r>
  <r>
    <x v="2"/>
    <n v="2199"/>
    <n v="2923"/>
    <x v="2"/>
    <x v="0"/>
    <n v="724"/>
    <n v="-24"/>
    <x v="2"/>
    <x v="2"/>
    <x v="0"/>
  </r>
  <r>
    <x v="3"/>
    <n v="1580"/>
    <n v="2499"/>
    <x v="3"/>
    <x v="0"/>
    <n v="919"/>
    <n v="-7"/>
    <x v="3"/>
    <x v="3"/>
    <x v="0"/>
  </r>
  <r>
    <x v="4"/>
    <n v="1740"/>
    <n v="2356"/>
    <x v="4"/>
    <x v="0"/>
    <n v="616"/>
    <n v="-5"/>
    <x v="4"/>
    <x v="4"/>
    <x v="0"/>
  </r>
  <r>
    <x v="5"/>
    <n v="2999"/>
    <n v="3290"/>
    <x v="5"/>
    <x v="2"/>
    <n v="291"/>
    <n v="-15"/>
    <x v="5"/>
    <x v="5"/>
    <x v="1"/>
  </r>
  <r>
    <x v="6"/>
    <n v="2319"/>
    <n v="3032"/>
    <x v="6"/>
    <x v="0"/>
    <n v="713"/>
    <n v="-55"/>
    <x v="6"/>
    <x v="2"/>
    <x v="0"/>
  </r>
  <r>
    <x v="7"/>
    <n v="988"/>
    <n v="1580"/>
    <x v="3"/>
    <x v="0"/>
    <n v="592"/>
    <n v="-2"/>
    <x v="0"/>
    <x v="5"/>
    <x v="1"/>
  </r>
  <r>
    <x v="8"/>
    <n v="1274"/>
    <n v="2800"/>
    <x v="7"/>
    <x v="1"/>
    <n v="1526"/>
    <n v="-5"/>
    <x v="4"/>
    <x v="4"/>
    <x v="0"/>
  </r>
  <r>
    <x v="9"/>
    <n v="1600"/>
    <n v="2929"/>
    <x v="8"/>
    <x v="1"/>
    <n v="1329"/>
    <n v="-5"/>
    <x v="4"/>
    <x v="6"/>
    <x v="1"/>
  </r>
  <r>
    <x v="10"/>
    <n v="799"/>
    <n v="999"/>
    <x v="9"/>
    <x v="2"/>
    <n v="200"/>
    <n v="-12"/>
    <x v="7"/>
    <x v="1"/>
    <x v="1"/>
  </r>
  <r>
    <x v="11"/>
    <n v="990"/>
    <n v="1500"/>
    <x v="10"/>
    <x v="0"/>
    <n v="510"/>
    <n v="-39"/>
    <x v="8"/>
    <x v="3"/>
    <x v="0"/>
  </r>
  <r>
    <x v="12"/>
    <n v="552"/>
    <n v="1035"/>
    <x v="1"/>
    <x v="1"/>
    <n v="483"/>
    <n v="-12"/>
    <x v="7"/>
    <x v="4"/>
    <x v="0"/>
  </r>
  <r>
    <x v="13"/>
    <n v="501"/>
    <n v="860"/>
    <x v="11"/>
    <x v="1"/>
    <n v="359"/>
    <n v="-6"/>
    <x v="9"/>
    <x v="0"/>
    <x v="0"/>
  </r>
  <r>
    <x v="14"/>
    <n v="1680"/>
    <n v="2499"/>
    <x v="12"/>
    <x v="0"/>
    <n v="819"/>
    <n v="-9"/>
    <x v="10"/>
    <x v="7"/>
    <x v="1"/>
  </r>
  <r>
    <x v="15"/>
    <n v="332"/>
    <n v="684"/>
    <x v="13"/>
    <x v="1"/>
    <n v="352"/>
    <n v="-2"/>
    <x v="0"/>
    <x v="8"/>
    <x v="0"/>
  </r>
  <r>
    <x v="16"/>
    <n v="195"/>
    <n v="360"/>
    <x v="14"/>
    <x v="1"/>
    <n v="165"/>
    <n v="-2"/>
    <x v="0"/>
    <x v="8"/>
    <x v="0"/>
  </r>
  <r>
    <x v="17"/>
    <n v="2025"/>
    <n v="3971"/>
    <x v="15"/>
    <x v="1"/>
    <n v="1946"/>
    <n v="-3"/>
    <x v="11"/>
    <x v="8"/>
    <x v="0"/>
  </r>
  <r>
    <x v="18"/>
    <n v="2999"/>
    <n v="3699"/>
    <x v="16"/>
    <x v="2"/>
    <n v="700"/>
    <n v="-5"/>
    <x v="4"/>
    <x v="2"/>
    <x v="0"/>
  </r>
  <r>
    <x v="19"/>
    <n v="998"/>
    <n v="1966"/>
    <x v="15"/>
    <x v="1"/>
    <n v="968"/>
    <n v="-44"/>
    <x v="12"/>
    <x v="2"/>
    <x v="0"/>
  </r>
  <r>
    <x v="20"/>
    <n v="38"/>
    <n v="80"/>
    <x v="17"/>
    <x v="1"/>
    <n v="42"/>
    <n v="-13"/>
    <x v="13"/>
    <x v="9"/>
    <x v="1"/>
  </r>
  <r>
    <x v="21"/>
    <n v="1860"/>
    <n v="3220"/>
    <x v="11"/>
    <x v="1"/>
    <n v="1360"/>
    <n v="0"/>
    <x v="14"/>
    <x v="6"/>
    <x v="1"/>
  </r>
  <r>
    <x v="22"/>
    <n v="880"/>
    <n v="1350"/>
    <x v="18"/>
    <x v="0"/>
    <n v="470"/>
    <n v="-6"/>
    <x v="9"/>
    <x v="5"/>
    <x v="1"/>
  </r>
  <r>
    <x v="23"/>
    <n v="1650"/>
    <n v="2150"/>
    <x v="19"/>
    <x v="0"/>
    <n v="500"/>
    <n v="-14"/>
    <x v="1"/>
    <x v="10"/>
    <x v="1"/>
  </r>
  <r>
    <x v="24"/>
    <n v="2048"/>
    <n v="4500"/>
    <x v="20"/>
    <x v="1"/>
    <n v="2452"/>
    <n v="-7"/>
    <x v="3"/>
    <x v="11"/>
    <x v="1"/>
  </r>
  <r>
    <x v="25"/>
    <n v="420"/>
    <n v="647"/>
    <x v="18"/>
    <x v="0"/>
    <n v="227"/>
    <n v="-49"/>
    <x v="15"/>
    <x v="2"/>
    <x v="0"/>
  </r>
  <r>
    <x v="26"/>
    <n v="2880"/>
    <n v="3520"/>
    <x v="21"/>
    <x v="2"/>
    <n v="640"/>
    <n v="-12"/>
    <x v="7"/>
    <x v="6"/>
    <x v="1"/>
  </r>
  <r>
    <x v="27"/>
    <n v="1350"/>
    <n v="1990"/>
    <x v="22"/>
    <x v="0"/>
    <n v="640"/>
    <n v="-13"/>
    <x v="13"/>
    <x v="6"/>
    <x v="1"/>
  </r>
  <r>
    <x v="28"/>
    <n v="1758"/>
    <n v="2499"/>
    <x v="23"/>
    <x v="0"/>
    <n v="741"/>
    <n v="-20"/>
    <x v="16"/>
    <x v="1"/>
    <x v="1"/>
  </r>
  <r>
    <x v="29"/>
    <n v="2200"/>
    <n v="4080"/>
    <x v="14"/>
    <x v="1"/>
    <n v="1880"/>
    <n v="0"/>
    <x v="14"/>
    <x v="6"/>
    <x v="1"/>
  </r>
  <r>
    <x v="30"/>
    <n v="185"/>
    <n v="382"/>
    <x v="24"/>
    <x v="1"/>
    <n v="197"/>
    <n v="-9"/>
    <x v="10"/>
    <x v="11"/>
    <x v="1"/>
  </r>
  <r>
    <x v="31"/>
    <n v="980"/>
    <n v="1490"/>
    <x v="10"/>
    <x v="0"/>
    <n v="510"/>
    <n v="-12"/>
    <x v="7"/>
    <x v="3"/>
    <x v="0"/>
  </r>
  <r>
    <x v="32"/>
    <n v="1820"/>
    <n v="3490"/>
    <x v="25"/>
    <x v="1"/>
    <n v="1670"/>
    <n v="-9"/>
    <x v="10"/>
    <x v="11"/>
    <x v="1"/>
  </r>
  <r>
    <x v="33"/>
    <n v="1940"/>
    <n v="2650"/>
    <x v="26"/>
    <x v="0"/>
    <n v="710"/>
    <n v="-20"/>
    <x v="16"/>
    <x v="3"/>
    <x v="0"/>
  </r>
  <r>
    <x v="34"/>
    <n v="1980"/>
    <n v="2699"/>
    <x v="26"/>
    <x v="0"/>
    <n v="719"/>
    <n v="-32"/>
    <x v="17"/>
    <x v="0"/>
    <x v="0"/>
  </r>
  <r>
    <x v="35"/>
    <n v="1620"/>
    <n v="2690"/>
    <x v="27"/>
    <x v="0"/>
    <n v="1070"/>
    <n v="-1"/>
    <x v="18"/>
    <x v="8"/>
    <x v="0"/>
  </r>
  <r>
    <x v="36"/>
    <n v="171"/>
    <n v="360"/>
    <x v="17"/>
    <x v="1"/>
    <n v="189"/>
    <n v="-2"/>
    <x v="0"/>
    <x v="8"/>
    <x v="0"/>
  </r>
  <r>
    <x v="37"/>
    <n v="389"/>
    <n v="656"/>
    <x v="28"/>
    <x v="1"/>
    <n v="267"/>
    <n v="-36"/>
    <x v="19"/>
    <x v="11"/>
    <x v="1"/>
  </r>
  <r>
    <x v="38"/>
    <n v="1800"/>
    <n v="2700"/>
    <x v="0"/>
    <x v="0"/>
    <n v="900"/>
    <n v="-2"/>
    <x v="0"/>
    <x v="0"/>
    <x v="0"/>
  </r>
  <r>
    <x v="39"/>
    <n v="2750"/>
    <n v="4471"/>
    <x v="0"/>
    <x v="0"/>
    <n v="1721"/>
    <n v="0"/>
    <x v="14"/>
    <x v="6"/>
    <x v="1"/>
  </r>
  <r>
    <x v="40"/>
    <n v="475"/>
    <n v="931"/>
    <x v="15"/>
    <x v="1"/>
    <n v="456"/>
    <n v="0"/>
    <x v="14"/>
    <x v="6"/>
    <x v="1"/>
  </r>
  <r>
    <x v="41"/>
    <n v="238"/>
    <n v="476"/>
    <x v="29"/>
    <x v="1"/>
    <n v="238"/>
    <n v="0"/>
    <x v="14"/>
    <x v="6"/>
    <x v="1"/>
  </r>
  <r>
    <x v="42"/>
    <n v="610"/>
    <n v="1060"/>
    <x v="11"/>
    <x v="1"/>
    <n v="450"/>
    <n v="0"/>
    <x v="14"/>
    <x v="6"/>
    <x v="1"/>
  </r>
  <r>
    <x v="42"/>
    <n v="610"/>
    <n v="1060"/>
    <x v="11"/>
    <x v="1"/>
    <n v="450"/>
    <n v="0"/>
    <x v="14"/>
    <x v="6"/>
    <x v="1"/>
  </r>
  <r>
    <x v="43"/>
    <n v="2132"/>
    <n v="2169"/>
    <x v="30"/>
    <x v="2"/>
    <n v="37"/>
    <n v="0"/>
    <x v="14"/>
    <x v="6"/>
    <x v="1"/>
  </r>
  <r>
    <x v="44"/>
    <n v="999"/>
    <n v="2000"/>
    <x v="29"/>
    <x v="1"/>
    <n v="1001"/>
    <n v="0"/>
    <x v="14"/>
    <x v="6"/>
    <x v="1"/>
  </r>
  <r>
    <x v="45"/>
    <n v="1190"/>
    <n v="1785"/>
    <x v="12"/>
    <x v="0"/>
    <n v="595"/>
    <n v="0"/>
    <x v="14"/>
    <x v="6"/>
    <x v="1"/>
  </r>
  <r>
    <x v="46"/>
    <n v="671"/>
    <n v="1316"/>
    <x v="15"/>
    <x v="1"/>
    <n v="645"/>
    <n v="0"/>
    <x v="14"/>
    <x v="6"/>
    <x v="1"/>
  </r>
  <r>
    <x v="47"/>
    <n v="1200"/>
    <n v="1950"/>
    <x v="0"/>
    <x v="0"/>
    <n v="750"/>
    <n v="0"/>
    <x v="14"/>
    <x v="6"/>
    <x v="1"/>
  </r>
  <r>
    <x v="48"/>
    <n v="199"/>
    <n v="504"/>
    <x v="31"/>
    <x v="1"/>
    <n v="305"/>
    <n v="0"/>
    <x v="14"/>
    <x v="6"/>
    <x v="1"/>
  </r>
  <r>
    <x v="49"/>
    <n v="299"/>
    <n v="600"/>
    <x v="29"/>
    <x v="1"/>
    <n v="301"/>
    <n v="0"/>
    <x v="14"/>
    <x v="6"/>
    <x v="1"/>
  </r>
  <r>
    <x v="50"/>
    <n v="1660"/>
    <n v="1699"/>
    <x v="30"/>
    <x v="2"/>
    <n v="39"/>
    <n v="0"/>
    <x v="14"/>
    <x v="6"/>
    <x v="1"/>
  </r>
  <r>
    <x v="51"/>
    <n v="299"/>
    <n v="384"/>
    <x v="32"/>
    <x v="0"/>
    <n v="85"/>
    <n v="0"/>
    <x v="14"/>
    <x v="6"/>
    <x v="1"/>
  </r>
  <r>
    <x v="52"/>
    <n v="1459"/>
    <n v="1499"/>
    <x v="33"/>
    <x v="2"/>
    <n v="40"/>
    <n v="0"/>
    <x v="14"/>
    <x v="6"/>
    <x v="1"/>
  </r>
  <r>
    <x v="53"/>
    <n v="799"/>
    <n v="1343"/>
    <x v="28"/>
    <x v="1"/>
    <n v="544"/>
    <n v="0"/>
    <x v="14"/>
    <x v="6"/>
    <x v="1"/>
  </r>
  <r>
    <x v="54"/>
    <n v="499"/>
    <n v="900"/>
    <x v="8"/>
    <x v="1"/>
    <n v="401"/>
    <n v="0"/>
    <x v="14"/>
    <x v="6"/>
    <x v="1"/>
  </r>
  <r>
    <x v="55"/>
    <n v="699"/>
    <n v="1343"/>
    <x v="25"/>
    <x v="1"/>
    <n v="644"/>
    <n v="0"/>
    <x v="14"/>
    <x v="6"/>
    <x v="1"/>
  </r>
  <r>
    <x v="56"/>
    <n v="799"/>
    <n v="1567"/>
    <x v="15"/>
    <x v="1"/>
    <n v="768"/>
    <n v="0"/>
    <x v="14"/>
    <x v="6"/>
    <x v="1"/>
  </r>
  <r>
    <x v="57"/>
    <n v="2799"/>
    <n v="3810"/>
    <x v="26"/>
    <x v="0"/>
    <n v="1011"/>
    <n v="0"/>
    <x v="14"/>
    <x v="6"/>
    <x v="1"/>
  </r>
  <r>
    <x v="54"/>
    <n v="399"/>
    <n v="896"/>
    <x v="7"/>
    <x v="1"/>
    <n v="497"/>
    <n v="0"/>
    <x v="14"/>
    <x v="6"/>
    <x v="1"/>
  </r>
  <r>
    <x v="58"/>
    <n v="2170"/>
    <n v="2500"/>
    <x v="34"/>
    <x v="2"/>
    <n v="330"/>
    <n v="-6"/>
    <x v="9"/>
    <x v="12"/>
    <x v="2"/>
  </r>
  <r>
    <x v="59"/>
    <n v="458"/>
    <n v="986"/>
    <x v="20"/>
    <x v="1"/>
    <n v="528"/>
    <n v="-10"/>
    <x v="20"/>
    <x v="13"/>
    <x v="1"/>
  </r>
  <r>
    <x v="60"/>
    <n v="2115"/>
    <n v="4700"/>
    <x v="7"/>
    <x v="1"/>
    <n v="2585"/>
    <n v="-13"/>
    <x v="13"/>
    <x v="14"/>
    <x v="2"/>
  </r>
  <r>
    <x v="61"/>
    <n v="445"/>
    <n v="873"/>
    <x v="15"/>
    <x v="1"/>
    <n v="428"/>
    <n v="-69"/>
    <x v="21"/>
    <x v="15"/>
    <x v="2"/>
  </r>
  <r>
    <x v="62"/>
    <n v="325"/>
    <n v="680"/>
    <x v="24"/>
    <x v="1"/>
    <n v="355"/>
    <n v="-15"/>
    <x v="5"/>
    <x v="16"/>
    <x v="2"/>
  </r>
  <r>
    <x v="63"/>
    <n v="1220"/>
    <n v="1555"/>
    <x v="32"/>
    <x v="0"/>
    <n v="335"/>
    <n v="-16"/>
    <x v="22"/>
    <x v="17"/>
    <x v="2"/>
  </r>
  <r>
    <x v="64"/>
    <n v="990"/>
    <n v="1814"/>
    <x v="8"/>
    <x v="1"/>
    <n v="824"/>
    <n v="-6"/>
    <x v="9"/>
    <x v="18"/>
    <x v="2"/>
  </r>
  <r>
    <x v="65"/>
    <n v="1000"/>
    <n v="2000"/>
    <x v="29"/>
    <x v="1"/>
    <n v="1000"/>
    <n v="-7"/>
    <x v="3"/>
    <x v="19"/>
    <x v="2"/>
  </r>
  <r>
    <x v="66"/>
    <n v="3750"/>
    <n v="6143"/>
    <x v="35"/>
    <x v="0"/>
    <n v="2393"/>
    <n v="-5"/>
    <x v="4"/>
    <x v="13"/>
    <x v="1"/>
  </r>
  <r>
    <x v="67"/>
    <n v="382"/>
    <n v="700"/>
    <x v="8"/>
    <x v="1"/>
    <n v="318"/>
    <n v="-17"/>
    <x v="23"/>
    <x v="20"/>
    <x v="2"/>
  </r>
  <r>
    <x v="68"/>
    <n v="2300"/>
    <n v="3240"/>
    <x v="36"/>
    <x v="0"/>
    <n v="940"/>
    <n v="-5"/>
    <x v="4"/>
    <x v="13"/>
    <x v="1"/>
  </r>
  <r>
    <x v="69"/>
    <n v="345"/>
    <n v="602"/>
    <x v="37"/>
    <x v="1"/>
    <n v="257"/>
    <n v="-6"/>
    <x v="9"/>
    <x v="19"/>
    <x v="2"/>
  </r>
  <r>
    <x v="70"/>
    <n v="509"/>
    <n v="899"/>
    <x v="37"/>
    <x v="1"/>
    <n v="390"/>
    <n v="-5"/>
    <x v="4"/>
    <x v="13"/>
    <x v="1"/>
  </r>
  <r>
    <x v="71"/>
    <n v="968"/>
    <n v="1814"/>
    <x v="1"/>
    <x v="1"/>
    <n v="846"/>
    <n v="-6"/>
    <x v="9"/>
    <x v="18"/>
    <x v="2"/>
  </r>
  <r>
    <x v="72"/>
    <n v="1570"/>
    <n v="2988"/>
    <x v="1"/>
    <x v="1"/>
    <n v="1418"/>
    <n v="-7"/>
    <x v="3"/>
    <x v="14"/>
    <x v="2"/>
  </r>
  <r>
    <x v="73"/>
    <n v="790"/>
    <n v="1485"/>
    <x v="1"/>
    <x v="1"/>
    <n v="695"/>
    <n v="0"/>
    <x v="14"/>
    <x v="6"/>
    <x v="1"/>
  </r>
  <r>
    <x v="74"/>
    <n v="690"/>
    <n v="1200"/>
    <x v="37"/>
    <x v="1"/>
    <n v="510"/>
    <n v="0"/>
    <x v="14"/>
    <x v="6"/>
    <x v="1"/>
  </r>
  <r>
    <x v="75"/>
    <n v="1732"/>
    <n v="1799"/>
    <x v="38"/>
    <x v="2"/>
    <n v="67"/>
    <n v="0"/>
    <x v="14"/>
    <x v="6"/>
    <x v="1"/>
  </r>
  <r>
    <x v="76"/>
    <n v="230"/>
    <n v="450"/>
    <x v="15"/>
    <x v="1"/>
    <n v="220"/>
    <n v="0"/>
    <x v="14"/>
    <x v="6"/>
    <x v="1"/>
  </r>
  <r>
    <x v="77"/>
    <n v="1189"/>
    <n v="2199"/>
    <x v="14"/>
    <x v="1"/>
    <n v="1010"/>
    <n v="-1"/>
    <x v="18"/>
    <x v="13"/>
    <x v="1"/>
  </r>
  <r>
    <x v="78"/>
    <n v="979"/>
    <n v="1920"/>
    <x v="15"/>
    <x v="1"/>
    <n v="941"/>
    <n v="-1"/>
    <x v="18"/>
    <x v="8"/>
    <x v="0"/>
  </r>
  <r>
    <x v="79"/>
    <n v="1460"/>
    <n v="2290"/>
    <x v="39"/>
    <x v="0"/>
    <n v="830"/>
    <n v="0"/>
    <x v="14"/>
    <x v="6"/>
    <x v="1"/>
  </r>
  <r>
    <x v="80"/>
    <n v="1666"/>
    <n v="1699"/>
    <x v="30"/>
    <x v="2"/>
    <n v="33"/>
    <n v="0"/>
    <x v="14"/>
    <x v="6"/>
    <x v="1"/>
  </r>
  <r>
    <x v="81"/>
    <n v="330"/>
    <n v="647"/>
    <x v="15"/>
    <x v="1"/>
    <n v="317"/>
    <n v="-1"/>
    <x v="18"/>
    <x v="5"/>
    <x v="1"/>
  </r>
  <r>
    <x v="42"/>
    <n v="610"/>
    <n v="1060"/>
    <x v="11"/>
    <x v="1"/>
    <n v="450"/>
    <n v="0"/>
    <x v="14"/>
    <x v="6"/>
    <x v="1"/>
  </r>
  <r>
    <x v="48"/>
    <n v="176"/>
    <n v="345"/>
    <x v="15"/>
    <x v="1"/>
    <n v="169"/>
    <n v="0"/>
    <x v="14"/>
    <x v="6"/>
    <x v="1"/>
  </r>
  <r>
    <x v="82"/>
    <n v="1466"/>
    <n v="1699"/>
    <x v="40"/>
    <x v="2"/>
    <n v="233"/>
    <n v="0"/>
    <x v="14"/>
    <x v="6"/>
    <x v="1"/>
  </r>
  <r>
    <x v="83"/>
    <n v="274"/>
    <n v="537"/>
    <x v="15"/>
    <x v="1"/>
    <n v="263"/>
    <n v="0"/>
    <x v="14"/>
    <x v="6"/>
    <x v="1"/>
  </r>
  <r>
    <x v="84"/>
    <n v="799"/>
    <n v="900"/>
    <x v="41"/>
    <x v="2"/>
    <n v="101"/>
    <n v="0"/>
    <x v="14"/>
    <x v="6"/>
    <x v="1"/>
  </r>
  <r>
    <x v="56"/>
    <n v="657"/>
    <n v="1288"/>
    <x v="15"/>
    <x v="1"/>
    <n v="631"/>
    <n v="0"/>
    <x v="14"/>
    <x v="6"/>
    <x v="1"/>
  </r>
  <r>
    <x v="85"/>
    <n v="1468"/>
    <n v="1699"/>
    <x v="40"/>
    <x v="2"/>
    <n v="231"/>
    <n v="0"/>
    <x v="14"/>
    <x v="6"/>
    <x v="1"/>
  </r>
  <r>
    <x v="86"/>
    <n v="630"/>
    <n v="1100"/>
    <x v="37"/>
    <x v="1"/>
    <n v="470"/>
    <n v="0"/>
    <x v="14"/>
    <x v="6"/>
    <x v="1"/>
  </r>
  <r>
    <x v="87"/>
    <n v="850"/>
    <n v="1700"/>
    <x v="29"/>
    <x v="1"/>
    <n v="850"/>
    <n v="0"/>
    <x v="14"/>
    <x v="6"/>
    <x v="1"/>
  </r>
  <r>
    <x v="88"/>
    <n v="1300"/>
    <n v="2500"/>
    <x v="25"/>
    <x v="1"/>
    <n v="1200"/>
    <n v="0"/>
    <x v="14"/>
    <x v="6"/>
    <x v="1"/>
  </r>
  <r>
    <x v="89"/>
    <n v="105"/>
    <n v="200"/>
    <x v="25"/>
    <x v="1"/>
    <n v="95"/>
    <n v="0"/>
    <x v="14"/>
    <x v="6"/>
    <x v="1"/>
  </r>
  <r>
    <x v="90"/>
    <n v="899"/>
    <n v="1699"/>
    <x v="1"/>
    <x v="1"/>
    <n v="800"/>
    <n v="0"/>
    <x v="14"/>
    <x v="6"/>
    <x v="1"/>
  </r>
  <r>
    <x v="90"/>
    <n v="899"/>
    <n v="1699"/>
    <x v="1"/>
    <x v="1"/>
    <n v="800"/>
    <n v="0"/>
    <x v="14"/>
    <x v="6"/>
    <x v="1"/>
  </r>
  <r>
    <x v="91"/>
    <n v="1200"/>
    <n v="2400"/>
    <x v="29"/>
    <x v="1"/>
    <n v="1200"/>
    <n v="0"/>
    <x v="14"/>
    <x v="6"/>
    <x v="1"/>
  </r>
  <r>
    <x v="92"/>
    <n v="1526"/>
    <n v="1660"/>
    <x v="42"/>
    <x v="2"/>
    <n v="134"/>
    <n v="0"/>
    <x v="14"/>
    <x v="6"/>
    <x v="1"/>
  </r>
  <r>
    <x v="93"/>
    <n v="1462"/>
    <n v="1499"/>
    <x v="30"/>
    <x v="2"/>
    <n v="37"/>
    <n v="0"/>
    <x v="14"/>
    <x v="6"/>
    <x v="1"/>
  </r>
  <r>
    <x v="94"/>
    <n v="248"/>
    <n v="486"/>
    <x v="15"/>
    <x v="1"/>
    <n v="238"/>
    <n v="0"/>
    <x v="14"/>
    <x v="6"/>
    <x v="1"/>
  </r>
  <r>
    <x v="95"/>
    <n v="3546"/>
    <n v="3699"/>
    <x v="38"/>
    <x v="2"/>
    <n v="153"/>
    <n v="0"/>
    <x v="14"/>
    <x v="6"/>
    <x v="1"/>
  </r>
  <r>
    <x v="96"/>
    <n v="525"/>
    <n v="1029"/>
    <x v="15"/>
    <x v="1"/>
    <n v="504"/>
    <n v="0"/>
    <x v="14"/>
    <x v="6"/>
    <x v="1"/>
  </r>
  <r>
    <x v="97"/>
    <n v="1080"/>
    <n v="1874"/>
    <x v="11"/>
    <x v="1"/>
    <n v="794"/>
    <n v="0"/>
    <x v="14"/>
    <x v="6"/>
    <x v="1"/>
  </r>
  <r>
    <x v="98"/>
    <n v="3640"/>
    <n v="4588"/>
    <x v="43"/>
    <x v="0"/>
    <n v="948"/>
    <n v="-1"/>
    <x v="18"/>
    <x v="8"/>
    <x v="0"/>
  </r>
  <r>
    <x v="99"/>
    <n v="1420"/>
    <n v="2420"/>
    <x v="28"/>
    <x v="1"/>
    <n v="1000"/>
    <n v="0"/>
    <x v="14"/>
    <x v="6"/>
    <x v="1"/>
  </r>
  <r>
    <x v="100"/>
    <n v="1875"/>
    <n v="1899"/>
    <x v="44"/>
    <x v="2"/>
    <n v="24"/>
    <n v="0"/>
    <x v="14"/>
    <x v="6"/>
    <x v="1"/>
  </r>
  <r>
    <x v="101"/>
    <n v="198"/>
    <n v="260"/>
    <x v="6"/>
    <x v="0"/>
    <n v="62"/>
    <n v="0"/>
    <x v="14"/>
    <x v="6"/>
    <x v="1"/>
  </r>
  <r>
    <x v="102"/>
    <n v="1150"/>
    <n v="1737"/>
    <x v="10"/>
    <x v="0"/>
    <n v="587"/>
    <n v="0"/>
    <x v="14"/>
    <x v="6"/>
    <x v="1"/>
  </r>
  <r>
    <x v="103"/>
    <n v="1190"/>
    <n v="1810"/>
    <x v="10"/>
    <x v="0"/>
    <n v="620"/>
    <n v="0"/>
    <x v="14"/>
    <x v="6"/>
    <x v="1"/>
  </r>
  <r>
    <x v="104"/>
    <n v="1658"/>
    <n v="1699"/>
    <x v="30"/>
    <x v="2"/>
    <n v="41"/>
    <n v="0"/>
    <x v="14"/>
    <x v="6"/>
    <x v="1"/>
  </r>
  <r>
    <x v="105"/>
    <n v="1768"/>
    <n v="1799"/>
    <x v="30"/>
    <x v="2"/>
    <n v="31"/>
    <n v="0"/>
    <x v="14"/>
    <x v="6"/>
    <x v="1"/>
  </r>
  <r>
    <x v="106"/>
    <n v="199"/>
    <n v="553"/>
    <x v="45"/>
    <x v="1"/>
    <n v="354"/>
    <n v="0"/>
    <x v="14"/>
    <x v="6"/>
    <x v="1"/>
  </r>
  <r>
    <x v="107"/>
    <n v="450"/>
    <n v="900"/>
    <x v="29"/>
    <x v="1"/>
    <n v="450"/>
    <n v="-1"/>
    <x v="18"/>
    <x v="21"/>
    <x v="2"/>
  </r>
  <r>
    <x v="108"/>
    <n v="169"/>
    <n v="320"/>
    <x v="1"/>
    <x v="1"/>
    <n v="151"/>
    <n v="0"/>
    <x v="14"/>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4B8D5-186B-4F79-82FA-E90F62399AA7}" name="PivotTable1"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
  <location ref="A3:C7" firstHeaderRow="0" firstDataRow="1" firstDataCol="1"/>
  <pivotFields count="10">
    <pivotField showAll="0"/>
    <pivotField showAll="0"/>
    <pivotField showAll="0"/>
    <pivotField showAll="0"/>
    <pivotField showAll="0">
      <items count="4">
        <item x="1"/>
        <item x="2"/>
        <item x="0"/>
        <item t="default"/>
      </items>
    </pivotField>
    <pivotField dataField="1" showAll="0"/>
    <pivotField showAll="0"/>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dataField="1" showAll="0">
      <items count="23">
        <item x="21"/>
        <item x="14"/>
        <item x="18"/>
        <item x="19"/>
        <item x="12"/>
        <item x="20"/>
        <item x="16"/>
        <item x="15"/>
        <item x="17"/>
        <item x="13"/>
        <item x="9"/>
        <item x="6"/>
        <item x="5"/>
        <item x="1"/>
        <item x="7"/>
        <item x="11"/>
        <item x="10"/>
        <item x="0"/>
        <item x="2"/>
        <item x="3"/>
        <item x="4"/>
        <item x="8"/>
        <item t="default"/>
      </items>
    </pivotField>
    <pivotField axis="axisRow" showAll="0">
      <items count="4">
        <item x="1"/>
        <item x="0"/>
        <item x="2"/>
        <item t="default"/>
      </items>
    </pivotField>
  </pivotFields>
  <rowFields count="1">
    <field x="9"/>
  </rowFields>
  <rowItems count="4">
    <i>
      <x/>
    </i>
    <i>
      <x v="1"/>
    </i>
    <i>
      <x v="2"/>
    </i>
    <i t="grand">
      <x/>
    </i>
  </rowItems>
  <colFields count="1">
    <field x="-2"/>
  </colFields>
  <colItems count="2">
    <i>
      <x/>
    </i>
    <i i="1">
      <x v="1"/>
    </i>
  </colItems>
  <dataFields count="2">
    <dataField name="Sum of Rating Out of 5" fld="8" baseField="0" baseItem="0"/>
    <dataField name="Sum of Discount Amount" fld="5" baseField="0" baseItem="0"/>
  </dataFields>
  <formats count="6">
    <format dxfId="461">
      <pivotArea type="all" dataOnly="0" outline="0" fieldPosition="0"/>
    </format>
    <format dxfId="460">
      <pivotArea outline="0" collapsedLevelsAreSubtotals="1" fieldPosition="0"/>
    </format>
    <format dxfId="459">
      <pivotArea field="9" type="button" dataOnly="0" labelOnly="1" outline="0" axis="axisRow" fieldPosition="0"/>
    </format>
    <format dxfId="458">
      <pivotArea dataOnly="0" labelOnly="1" fieldPosition="0">
        <references count="1">
          <reference field="9" count="0"/>
        </references>
      </pivotArea>
    </format>
    <format dxfId="457">
      <pivotArea dataOnly="0" labelOnly="1" grandRow="1" outline="0" fieldPosition="0"/>
    </format>
    <format dxfId="45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87D33-D0AE-4C75-A848-74956E4433D2}" name="PivotTable2"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3:B7" firstHeaderRow="1" firstDataRow="1" firstDataCol="1"/>
  <pivotFields count="10">
    <pivotField dataField="1" showAll="0"/>
    <pivotField showAll="0"/>
    <pivotField showAll="0"/>
    <pivotField showAll="0"/>
    <pivotField showAll="0">
      <items count="4">
        <item x="1"/>
        <item x="2"/>
        <item x="0"/>
        <item t="default"/>
      </items>
    </pivotField>
    <pivotField showAll="0"/>
    <pivotField showAll="0"/>
    <pivotField showAll="0"/>
    <pivotField showAll="0">
      <items count="23">
        <item x="21"/>
        <item x="14"/>
        <item x="18"/>
        <item x="19"/>
        <item x="12"/>
        <item x="20"/>
        <item x="16"/>
        <item x="15"/>
        <item x="17"/>
        <item x="13"/>
        <item x="9"/>
        <item x="6"/>
        <item x="5"/>
        <item x="1"/>
        <item x="7"/>
        <item x="11"/>
        <item x="10"/>
        <item x="0"/>
        <item x="2"/>
        <item x="3"/>
        <item x="4"/>
        <item x="8"/>
        <item t="default"/>
      </items>
    </pivotField>
    <pivotField axis="axisRow" showAll="0">
      <items count="4">
        <item x="1"/>
        <item x="0"/>
        <item x="2"/>
        <item t="default"/>
      </items>
    </pivotField>
  </pivotFields>
  <rowFields count="1">
    <field x="9"/>
  </rowFields>
  <rowItems count="4">
    <i>
      <x/>
    </i>
    <i>
      <x v="1"/>
    </i>
    <i>
      <x v="2"/>
    </i>
    <i t="grand">
      <x/>
    </i>
  </rowItems>
  <colItems count="1">
    <i/>
  </colItems>
  <dataFields count="1">
    <dataField name="Count of Product" fld="0" subtotal="count" baseField="0" baseItem="0"/>
  </dataFields>
  <formats count="6">
    <format dxfId="455">
      <pivotArea type="all" dataOnly="0" outline="0" fieldPosition="0"/>
    </format>
    <format dxfId="454">
      <pivotArea outline="0" collapsedLevelsAreSubtotals="1" fieldPosition="0"/>
    </format>
    <format dxfId="453">
      <pivotArea field="9" type="button" dataOnly="0" labelOnly="1" outline="0" axis="axisRow" fieldPosition="0"/>
    </format>
    <format dxfId="452">
      <pivotArea dataOnly="0" labelOnly="1" fieldPosition="0">
        <references count="1">
          <reference field="9" count="0"/>
        </references>
      </pivotArea>
    </format>
    <format dxfId="451">
      <pivotArea dataOnly="0" labelOnly="1" grandRow="1" outline="0" fieldPosition="0"/>
    </format>
    <format dxfId="45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CA62A1-739C-4FB7-A302-CAA827AA1D56}" name="PivotTable3"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location ref="A3:B14" firstHeaderRow="1" firstDataRow="1" firstDataCol="1"/>
  <pivotFields count="10">
    <pivotField showAll="0"/>
    <pivotField showAll="0"/>
    <pivotField showAll="0"/>
    <pivotField dataField="1" showAll="0" sumSubtotal="1" countASubtotal="1"/>
    <pivotField showAll="0">
      <items count="4">
        <item x="1"/>
        <item x="2"/>
        <item x="0"/>
        <item t="default"/>
      </items>
    </pivotField>
    <pivotField showAll="0"/>
    <pivotField showAll="0"/>
    <pivotField axis="axisRow" showAll="0">
      <items count="25">
        <item x="14"/>
        <item x="18"/>
        <item x="0"/>
        <item x="11"/>
        <item x="4"/>
        <item x="9"/>
        <item x="3"/>
        <item x="10"/>
        <item x="20"/>
        <item x="7"/>
        <item h="1" x="13"/>
        <item h="1" x="1"/>
        <item h="1" x="5"/>
        <item h="1" x="22"/>
        <item h="1" x="23"/>
        <item h="1" x="16"/>
        <item h="1" x="2"/>
        <item h="1" x="17"/>
        <item h="1" x="19"/>
        <item h="1" x="8"/>
        <item h="1" x="12"/>
        <item h="1" x="15"/>
        <item h="1" x="6"/>
        <item h="1" x="21"/>
        <item t="default"/>
      </items>
    </pivotField>
    <pivotField showAll="0">
      <items count="23">
        <item x="21"/>
        <item x="14"/>
        <item x="18"/>
        <item x="19"/>
        <item x="12"/>
        <item x="20"/>
        <item x="16"/>
        <item x="15"/>
        <item x="17"/>
        <item x="13"/>
        <item x="9"/>
        <item x="6"/>
        <item x="5"/>
        <item x="1"/>
        <item x="7"/>
        <item x="11"/>
        <item x="10"/>
        <item x="0"/>
        <item x="2"/>
        <item x="3"/>
        <item x="4"/>
        <item x="8"/>
        <item t="default"/>
      </items>
    </pivotField>
    <pivotField showAll="0">
      <items count="4">
        <item x="1"/>
        <item x="0"/>
        <item x="2"/>
        <item t="default"/>
      </items>
    </pivotField>
  </pivotFields>
  <rowFields count="1">
    <field x="7"/>
  </rowFields>
  <rowItems count="11">
    <i>
      <x/>
    </i>
    <i>
      <x v="1"/>
    </i>
    <i>
      <x v="2"/>
    </i>
    <i>
      <x v="3"/>
    </i>
    <i>
      <x v="4"/>
    </i>
    <i>
      <x v="5"/>
    </i>
    <i>
      <x v="6"/>
    </i>
    <i>
      <x v="7"/>
    </i>
    <i>
      <x v="8"/>
    </i>
    <i>
      <x v="9"/>
    </i>
    <i t="grand">
      <x/>
    </i>
  </rowItems>
  <colItems count="1">
    <i/>
  </colItems>
  <dataFields count="1">
    <dataField name="Sum of Discount" fld="3" baseField="0" baseItem="0"/>
  </dataFields>
  <formats count="6">
    <format dxfId="449">
      <pivotArea type="all" dataOnly="0" outline="0" fieldPosition="0"/>
    </format>
    <format dxfId="448">
      <pivotArea outline="0" collapsedLevelsAreSubtotals="1" fieldPosition="0"/>
    </format>
    <format dxfId="447">
      <pivotArea field="7" type="button" dataOnly="0" labelOnly="1" outline="0" axis="axisRow" fieldPosition="0"/>
    </format>
    <format dxfId="446">
      <pivotArea dataOnly="0" labelOnly="1" fieldPosition="0">
        <references count="1">
          <reference field="7" count="0"/>
        </references>
      </pivotArea>
    </format>
    <format dxfId="445">
      <pivotArea dataOnly="0" labelOnly="1" grandRow="1" outline="0" fieldPosition="0"/>
    </format>
    <format dxfId="444">
      <pivotArea dataOnly="0" labelOnly="1" outline="0" axis="axisValues" fieldPosition="0"/>
    </format>
  </formats>
  <chartFormats count="1">
    <chartFormat chart="4"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00B219-03F5-4252-A560-ECFBEE4F2BEB}" name="PivotTable4"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3:B28" firstHeaderRow="1" firstDataRow="1" firstDataCol="1"/>
  <pivotFields count="10">
    <pivotField showAll="0"/>
    <pivotField showAll="0"/>
    <pivotField showAll="0"/>
    <pivotField showAll="0"/>
    <pivotField showAll="0">
      <items count="4">
        <item x="1"/>
        <item x="2"/>
        <item x="0"/>
        <item t="default"/>
      </items>
    </pivotField>
    <pivotField showAll="0"/>
    <pivotField showAll="0" includeNewItemsInFilter="1" avgSubtotal="1"/>
    <pivotField axis="axisRow" showAll="0">
      <items count="25">
        <item x="14"/>
        <item x="18"/>
        <item x="0"/>
        <item x="11"/>
        <item x="4"/>
        <item x="9"/>
        <item x="3"/>
        <item x="10"/>
        <item x="20"/>
        <item x="7"/>
        <item x="13"/>
        <item x="1"/>
        <item x="5"/>
        <item x="22"/>
        <item x="23"/>
        <item x="16"/>
        <item x="2"/>
        <item x="17"/>
        <item x="19"/>
        <item x="8"/>
        <item x="12"/>
        <item x="15"/>
        <item x="6"/>
        <item x="21"/>
        <item t="default"/>
      </items>
    </pivotField>
    <pivotField dataField="1" showAll="0">
      <items count="23">
        <item x="21"/>
        <item x="14"/>
        <item x="18"/>
        <item x="19"/>
        <item x="12"/>
        <item x="20"/>
        <item x="16"/>
        <item x="15"/>
        <item x="17"/>
        <item x="13"/>
        <item x="9"/>
        <item x="6"/>
        <item x="5"/>
        <item x="1"/>
        <item x="7"/>
        <item x="11"/>
        <item x="10"/>
        <item x="0"/>
        <item x="2"/>
        <item x="3"/>
        <item x="4"/>
        <item x="8"/>
        <item t="default"/>
      </items>
    </pivotField>
    <pivotField showAll="0">
      <items count="4">
        <item x="1"/>
        <item x="0"/>
        <item x="2"/>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ating Out of 5" fld="8" subtotal="count" baseField="6" baseItem="4"/>
  </dataFields>
  <formats count="6">
    <format dxfId="443">
      <pivotArea type="all" dataOnly="0" outline="0" fieldPosition="0"/>
    </format>
    <format dxfId="442">
      <pivotArea outline="0" collapsedLevelsAreSubtotals="1" fieldPosition="0"/>
    </format>
    <format dxfId="441">
      <pivotArea field="7" type="button" dataOnly="0" labelOnly="1" outline="0" axis="axisRow" fieldPosition="0"/>
    </format>
    <format dxfId="440">
      <pivotArea dataOnly="0" labelOnly="1" fieldPosition="0">
        <references count="1">
          <reference field="7" count="0"/>
        </references>
      </pivotArea>
    </format>
    <format dxfId="439">
      <pivotArea dataOnly="0" labelOnly="1" grandRow="1" outline="0" fieldPosition="0"/>
    </format>
    <format dxfId="43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0EDB1A-FFA9-4B39-9B21-4C7C84A738A5}" name="PivotTable5"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3:B13" firstHeaderRow="1" firstDataRow="1" firstDataCol="1"/>
  <pivotFields count="10">
    <pivotField showAll="0"/>
    <pivotField showAll="0"/>
    <pivotField showAll="0"/>
    <pivotField dataField="1" showAll="0"/>
    <pivotField showAll="0">
      <items count="4">
        <item x="1"/>
        <item x="2"/>
        <item x="0"/>
        <item t="default"/>
      </items>
    </pivotField>
    <pivotField showAll="0"/>
    <pivotField showAll="0"/>
    <pivotField axis="axisRow" showAll="0">
      <items count="25">
        <item x="14"/>
        <item x="18"/>
        <item x="0"/>
        <item x="11"/>
        <item x="4"/>
        <item x="9"/>
        <item x="3"/>
        <item x="10"/>
        <item x="20"/>
        <item h="1" x="7"/>
        <item h="1" x="13"/>
        <item h="1" x="1"/>
        <item h="1" x="5"/>
        <item h="1" x="22"/>
        <item h="1" x="23"/>
        <item h="1" x="16"/>
        <item h="1" x="2"/>
        <item h="1" x="17"/>
        <item h="1" x="19"/>
        <item h="1" x="8"/>
        <item h="1" x="12"/>
        <item h="1" x="15"/>
        <item h="1" x="6"/>
        <item h="1" x="21"/>
        <item t="default"/>
      </items>
    </pivotField>
    <pivotField showAll="0">
      <items count="23">
        <item x="21"/>
        <item x="14"/>
        <item x="18"/>
        <item x="19"/>
        <item x="12"/>
        <item x="20"/>
        <item x="16"/>
        <item x="15"/>
        <item x="17"/>
        <item x="13"/>
        <item x="9"/>
        <item x="6"/>
        <item x="5"/>
        <item x="1"/>
        <item x="7"/>
        <item x="11"/>
        <item x="10"/>
        <item x="0"/>
        <item x="2"/>
        <item x="3"/>
        <item x="4"/>
        <item x="8"/>
        <item t="default"/>
      </items>
    </pivotField>
    <pivotField showAll="0">
      <items count="4">
        <item x="1"/>
        <item x="0"/>
        <item x="2"/>
        <item t="default"/>
      </items>
    </pivotField>
  </pivotFields>
  <rowFields count="1">
    <field x="7"/>
  </rowFields>
  <rowItems count="10">
    <i>
      <x/>
    </i>
    <i>
      <x v="1"/>
    </i>
    <i>
      <x v="2"/>
    </i>
    <i>
      <x v="3"/>
    </i>
    <i>
      <x v="4"/>
    </i>
    <i>
      <x v="5"/>
    </i>
    <i>
      <x v="6"/>
    </i>
    <i>
      <x v="7"/>
    </i>
    <i>
      <x v="8"/>
    </i>
    <i t="grand">
      <x/>
    </i>
  </rowItems>
  <colItems count="1">
    <i/>
  </colItems>
  <dataFields count="1">
    <dataField name="Sum of Discount" fld="3" baseField="0" baseItem="0"/>
  </dataFields>
  <formats count="6">
    <format dxfId="198">
      <pivotArea type="all" dataOnly="0" outline="0" fieldPosition="0"/>
    </format>
    <format dxfId="199">
      <pivotArea outline="0" collapsedLevelsAreSubtotals="1" fieldPosition="0"/>
    </format>
    <format dxfId="200">
      <pivotArea field="7" type="button" dataOnly="0" labelOnly="1" outline="0" axis="axisRow" fieldPosition="0"/>
    </format>
    <format dxfId="201">
      <pivotArea dataOnly="0" labelOnly="1" fieldPosition="0">
        <references count="1">
          <reference field="7" count="0"/>
        </references>
      </pivotArea>
    </format>
    <format dxfId="202">
      <pivotArea dataOnly="0" labelOnly="1" grandRow="1" outline="0" fieldPosition="0"/>
    </format>
    <format dxfId="20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6912F2-EF90-44C2-9150-3120B3AF862F}" name="PivotTable6"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3:B7" firstHeaderRow="1" firstDataRow="1" firstDataCol="1"/>
  <pivotFields count="10">
    <pivotField showAll="0"/>
    <pivotField showAll="0"/>
    <pivotField showAll="0"/>
    <pivotField showAll="0"/>
    <pivotField showAll="0">
      <items count="4">
        <item x="1"/>
        <item x="2"/>
        <item x="0"/>
        <item t="default"/>
      </items>
    </pivotField>
    <pivotField showAll="0"/>
    <pivotField showAll="0"/>
    <pivotField dataField="1" showAll="0"/>
    <pivotField showAll="0">
      <items count="23">
        <item x="21"/>
        <item x="14"/>
        <item x="18"/>
        <item x="19"/>
        <item x="12"/>
        <item x="20"/>
        <item x="16"/>
        <item x="15"/>
        <item x="17"/>
        <item x="13"/>
        <item x="9"/>
        <item x="6"/>
        <item x="5"/>
        <item x="1"/>
        <item x="7"/>
        <item x="11"/>
        <item x="10"/>
        <item x="0"/>
        <item x="2"/>
        <item x="3"/>
        <item x="4"/>
        <item x="8"/>
        <item t="default"/>
      </items>
    </pivotField>
    <pivotField axis="axisRow" showAll="0">
      <items count="4">
        <item x="1"/>
        <item x="0"/>
        <item x="2"/>
        <item t="default"/>
      </items>
    </pivotField>
  </pivotFields>
  <rowFields count="1">
    <field x="9"/>
  </rowFields>
  <rowItems count="4">
    <i>
      <x/>
    </i>
    <i>
      <x v="1"/>
    </i>
    <i>
      <x v="2"/>
    </i>
    <i t="grand">
      <x/>
    </i>
  </rowItems>
  <colItems count="1">
    <i/>
  </colItems>
  <dataFields count="1">
    <dataField name="Sum of Corrected Review" fld="7" baseField="0" baseItem="0"/>
  </dataFields>
  <formats count="6">
    <format dxfId="437">
      <pivotArea type="all" dataOnly="0" outline="0" fieldPosition="0"/>
    </format>
    <format dxfId="436">
      <pivotArea outline="0" collapsedLevelsAreSubtotals="1" fieldPosition="0"/>
    </format>
    <format dxfId="435">
      <pivotArea field="9" type="button" dataOnly="0" labelOnly="1" outline="0" axis="axisRow" fieldPosition="0"/>
    </format>
    <format dxfId="434">
      <pivotArea dataOnly="0" labelOnly="1" fieldPosition="0">
        <references count="1">
          <reference field="9" count="0"/>
        </references>
      </pivotArea>
    </format>
    <format dxfId="433">
      <pivotArea dataOnly="0" labelOnly="1" grandRow="1" outline="0" fieldPosition="0"/>
    </format>
    <format dxfId="43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E09F0B-17A8-4B00-BFA4-F31E795E6F36}" name="PivotTable7"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A3:B14" firstHeaderRow="1" firstDataRow="1" firstDataCol="1" rowPageCount="1" colPageCount="1"/>
  <pivotFields count="10">
    <pivotField axis="axisRow" showAll="0">
      <items count="110">
        <item x="38"/>
        <item x="11"/>
        <item x="0"/>
        <item x="27"/>
        <item x="31"/>
        <item x="61"/>
        <item x="57"/>
        <item x="9"/>
        <item x="6"/>
        <item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h="1" x="70"/>
        <item t="default"/>
      </items>
    </pivotField>
    <pivotField showAll="0"/>
    <pivotField showAll="0"/>
    <pivotField axis="axisPage" dataField="1"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showAll="0"/>
    <pivotField showAll="0"/>
    <pivotField showAll="0"/>
    <pivotField showAll="0">
      <items count="23">
        <item x="21"/>
        <item x="14"/>
        <item x="18"/>
        <item x="19"/>
        <item x="12"/>
        <item x="20"/>
        <item x="16"/>
        <item x="15"/>
        <item x="17"/>
        <item x="13"/>
        <item x="9"/>
        <item x="6"/>
        <item x="5"/>
        <item x="1"/>
        <item x="7"/>
        <item x="11"/>
        <item x="10"/>
        <item x="0"/>
        <item x="2"/>
        <item x="3"/>
        <item x="4"/>
        <item x="8"/>
        <item t="default"/>
      </items>
    </pivotField>
    <pivotField showAll="0">
      <items count="4">
        <item x="1"/>
        <item x="0"/>
        <item x="2"/>
        <item t="default"/>
      </items>
    </pivotField>
  </pivotFields>
  <rowFields count="1">
    <field x="0"/>
  </rowFields>
  <rowItems count="11">
    <i>
      <x/>
    </i>
    <i>
      <x v="1"/>
    </i>
    <i>
      <x v="2"/>
    </i>
    <i>
      <x v="3"/>
    </i>
    <i>
      <x v="4"/>
    </i>
    <i>
      <x v="5"/>
    </i>
    <i>
      <x v="6"/>
    </i>
    <i>
      <x v="7"/>
    </i>
    <i>
      <x v="8"/>
    </i>
    <i>
      <x v="9"/>
    </i>
    <i t="grand">
      <x/>
    </i>
  </rowItems>
  <colItems count="1">
    <i/>
  </colItems>
  <pageFields count="1">
    <pageField fld="3" hier="-1"/>
  </pageFields>
  <dataFields count="1">
    <dataField name="Max of Discount" fld="3" subtotal="max" baseField="0" baseItem="2"/>
  </dataFields>
  <formats count="6">
    <format dxfId="431">
      <pivotArea type="all" dataOnly="0" outline="0" fieldPosition="0"/>
    </format>
    <format dxfId="430">
      <pivotArea outline="0" collapsedLevelsAreSubtotals="1" fieldPosition="0"/>
    </format>
    <format dxfId="429">
      <pivotArea field="0" type="button" dataOnly="0" labelOnly="1" outline="0" axis="axisRow" fieldPosition="0"/>
    </format>
    <format dxfId="428">
      <pivotArea dataOnly="0" labelOnly="1" fieldPosition="0">
        <references count="1">
          <reference field="0" count="0"/>
        </references>
      </pivotArea>
    </format>
    <format dxfId="427">
      <pivotArea dataOnly="0" labelOnly="1" grandRow="1" outline="0" fieldPosition="0"/>
    </format>
    <format dxfId="4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535CD8-E0A0-480A-96AF-CF32A47845A1}" name="PivotTable8"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3:B14" firstHeaderRow="1" firstDataRow="1" firstDataCol="1"/>
  <pivotFields count="10">
    <pivotField axis="axisRow" showAll="0">
      <items count="110">
        <item x="38"/>
        <item x="11"/>
        <item x="0"/>
        <item x="27"/>
        <item x="31"/>
        <item x="61"/>
        <item x="57"/>
        <item x="9"/>
        <item x="6"/>
        <item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h="1" x="70"/>
        <item t="default"/>
      </items>
    </pivotField>
    <pivotField showAll="0"/>
    <pivotField showAll="0"/>
    <pivotField showAll="0"/>
    <pivotField showAll="0">
      <items count="4">
        <item x="1"/>
        <item x="2"/>
        <item x="0"/>
        <item t="default"/>
      </items>
    </pivotField>
    <pivotField showAll="0"/>
    <pivotField showAll="0"/>
    <pivotField dataField="1" showAll="0"/>
    <pivotField showAll="0">
      <items count="23">
        <item x="21"/>
        <item x="14"/>
        <item x="18"/>
        <item x="19"/>
        <item x="12"/>
        <item x="20"/>
        <item x="16"/>
        <item x="15"/>
        <item x="17"/>
        <item x="13"/>
        <item x="9"/>
        <item x="6"/>
        <item x="5"/>
        <item x="1"/>
        <item x="7"/>
        <item x="11"/>
        <item x="10"/>
        <item x="0"/>
        <item x="2"/>
        <item x="3"/>
        <item x="4"/>
        <item x="8"/>
        <item t="default"/>
      </items>
    </pivotField>
    <pivotField showAll="0">
      <items count="4">
        <item x="1"/>
        <item x="0"/>
        <item x="2"/>
        <item t="default"/>
      </items>
    </pivotField>
  </pivotFields>
  <rowFields count="1">
    <field x="0"/>
  </rowFields>
  <rowItems count="11">
    <i>
      <x/>
    </i>
    <i>
      <x v="1"/>
    </i>
    <i>
      <x v="2"/>
    </i>
    <i>
      <x v="3"/>
    </i>
    <i>
      <x v="4"/>
    </i>
    <i>
      <x v="5"/>
    </i>
    <i>
      <x v="6"/>
    </i>
    <i>
      <x v="7"/>
    </i>
    <i>
      <x v="8"/>
    </i>
    <i>
      <x v="9"/>
    </i>
    <i t="grand">
      <x/>
    </i>
  </rowItems>
  <colItems count="1">
    <i/>
  </colItems>
  <dataFields count="1">
    <dataField name="Sum of Corrected Review" fld="7" baseField="0" baseItem="0"/>
  </dataFields>
  <formats count="6">
    <format dxfId="425">
      <pivotArea type="all" dataOnly="0" outline="0" fieldPosition="0"/>
    </format>
    <format dxfId="424">
      <pivotArea outline="0" collapsedLevelsAreSubtotals="1" fieldPosition="0"/>
    </format>
    <format dxfId="423">
      <pivotArea field="0" type="button" dataOnly="0" labelOnly="1" outline="0" axis="axisRow" fieldPosition="0"/>
    </format>
    <format dxfId="422">
      <pivotArea dataOnly="0" labelOnly="1" fieldPosition="0">
        <references count="1">
          <reference field="0" count="0"/>
        </references>
      </pivotArea>
    </format>
    <format dxfId="421">
      <pivotArea dataOnly="0" labelOnly="1" grandRow="1" outline="0" fieldPosition="0"/>
    </format>
    <format dxfId="4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D3AE55-11B9-4F30-B2AB-1CBE61206B72}" name="PivotTable9"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B12" firstHeaderRow="1" firstDataRow="1" firstDataCol="1" rowPageCount="1" colPageCount="1"/>
  <pivotFields count="10">
    <pivotField axis="axisRow" showAll="0">
      <items count="110">
        <item x="38"/>
        <item x="11"/>
        <item x="0"/>
        <item x="27"/>
        <item x="31"/>
        <item x="61"/>
        <item x="57"/>
        <item x="9"/>
        <item h="1" x="6"/>
        <item h="1"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h="1" x="70"/>
        <item t="default"/>
      </items>
    </pivotField>
    <pivotField showAll="0"/>
    <pivotField showAll="0"/>
    <pivotField showAll="0"/>
    <pivotField showAll="0">
      <items count="4">
        <item x="1"/>
        <item x="2"/>
        <item x="0"/>
        <item t="default"/>
      </items>
    </pivotField>
    <pivotField showAll="0"/>
    <pivotField showAll="0"/>
    <pivotField showAll="0"/>
    <pivotField axis="axisPage" dataField="1" multipleItemSelectionAllowed="1" showAll="0">
      <items count="23">
        <item x="21"/>
        <item x="14"/>
        <item x="18"/>
        <item x="19"/>
        <item x="12"/>
        <item x="20"/>
        <item x="16"/>
        <item x="15"/>
        <item x="17"/>
        <item x="13"/>
        <item x="9"/>
        <item x="6"/>
        <item x="5"/>
        <item x="1"/>
        <item x="7"/>
        <item x="11"/>
        <item x="10"/>
        <item x="0"/>
        <item x="2"/>
        <item x="3"/>
        <item x="4"/>
        <item x="8"/>
        <item t="default"/>
      </items>
    </pivotField>
    <pivotField showAll="0">
      <items count="4">
        <item x="1"/>
        <item x="0"/>
        <item x="2"/>
        <item t="default"/>
      </items>
    </pivotField>
  </pivotFields>
  <rowFields count="1">
    <field x="0"/>
  </rowFields>
  <rowItems count="9">
    <i>
      <x/>
    </i>
    <i>
      <x v="1"/>
    </i>
    <i>
      <x v="2"/>
    </i>
    <i>
      <x v="3"/>
    </i>
    <i>
      <x v="4"/>
    </i>
    <i>
      <x v="5"/>
    </i>
    <i>
      <x v="6"/>
    </i>
    <i>
      <x v="7"/>
    </i>
    <i t="grand">
      <x/>
    </i>
  </rowItems>
  <colItems count="1">
    <i/>
  </colItems>
  <pageFields count="1">
    <pageField fld="8" hier="-1"/>
  </pageFields>
  <dataFields count="1">
    <dataField name="Max of Rating Out of 5" fld="8" subtotal="max" baseField="0" baseItem="0"/>
  </dataFields>
  <formats count="6">
    <format dxfId="419">
      <pivotArea type="all" dataOnly="0" outline="0" fieldPosition="0"/>
    </format>
    <format dxfId="418">
      <pivotArea outline="0" collapsedLevelsAreSubtotals="1" fieldPosition="0"/>
    </format>
    <format dxfId="417">
      <pivotArea field="0" type="button" dataOnly="0" labelOnly="1" outline="0" axis="axisRow" fieldPosition="0"/>
    </format>
    <format dxfId="416">
      <pivotArea dataOnly="0" labelOnly="1" fieldPosition="0">
        <references count="1">
          <reference field="0" count="0"/>
        </references>
      </pivotArea>
    </format>
    <format dxfId="415">
      <pivotArea dataOnly="0" labelOnly="1" grandRow="1" outline="0" fieldPosition="0"/>
    </format>
    <format dxfId="4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D4D0E0-E088-451E-BAA7-A7609FE7D8A5}" name="PivotTable10"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3">
  <location ref="A3:C7" firstHeaderRow="0" firstDataRow="1" firstDataCol="1"/>
  <pivotFields count="10">
    <pivotField showAll="0"/>
    <pivotField showAll="0"/>
    <pivotField showAll="0"/>
    <pivotField showAll="0"/>
    <pivotField axis="axisRow" showAll="0">
      <items count="4">
        <item x="1"/>
        <item x="2"/>
        <item x="0"/>
        <item t="default"/>
      </items>
    </pivotField>
    <pivotField showAll="0"/>
    <pivotField showAll="0"/>
    <pivotField dataField="1" showAll="0"/>
    <pivotField dataField="1" showAll="0">
      <items count="23">
        <item x="21"/>
        <item x="14"/>
        <item x="18"/>
        <item x="19"/>
        <item x="12"/>
        <item x="20"/>
        <item x="16"/>
        <item x="15"/>
        <item x="17"/>
        <item x="13"/>
        <item x="9"/>
        <item x="6"/>
        <item x="5"/>
        <item x="1"/>
        <item x="7"/>
        <item x="11"/>
        <item x="10"/>
        <item x="0"/>
        <item x="2"/>
        <item x="3"/>
        <item x="4"/>
        <item x="8"/>
        <item t="default"/>
      </items>
    </pivotField>
    <pivotField showAll="0">
      <items count="4">
        <item x="1"/>
        <item x="0"/>
        <item x="2"/>
        <item t="default"/>
      </items>
    </pivotField>
  </pivotFields>
  <rowFields count="1">
    <field x="4"/>
  </rowFields>
  <rowItems count="4">
    <i>
      <x/>
    </i>
    <i>
      <x v="1"/>
    </i>
    <i>
      <x v="2"/>
    </i>
    <i t="grand">
      <x/>
    </i>
  </rowItems>
  <colFields count="1">
    <field x="-2"/>
  </colFields>
  <colItems count="2">
    <i>
      <x/>
    </i>
    <i i="1">
      <x v="1"/>
    </i>
  </colItems>
  <dataFields count="2">
    <dataField name="Sum of Rating Out of 5" fld="8" baseField="0" baseItem="0"/>
    <dataField name="Sum of Corrected Review" fld="7" baseField="0" baseItem="0"/>
  </dataFields>
  <formats count="6">
    <format dxfId="413">
      <pivotArea type="all" dataOnly="0" outline="0" fieldPosition="0"/>
    </format>
    <format dxfId="412">
      <pivotArea outline="0" collapsedLevelsAreSubtotals="1" fieldPosition="0"/>
    </format>
    <format dxfId="411">
      <pivotArea field="4" type="button" dataOnly="0" labelOnly="1" outline="0" axis="axisRow" fieldPosition="0"/>
    </format>
    <format dxfId="410">
      <pivotArea dataOnly="0" labelOnly="1" fieldPosition="0">
        <references count="1">
          <reference field="4" count="0"/>
        </references>
      </pivotArea>
    </format>
    <format dxfId="409">
      <pivotArea dataOnly="0" labelOnly="1" grandRow="1" outline="0" fieldPosition="0"/>
    </format>
    <format dxfId="408">
      <pivotArea dataOnly="0" labelOnly="1" outline="0" fieldPosition="0">
        <references count="1">
          <reference field="4294967294" count="2">
            <x v="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F3C14A-3B61-4262-83FA-8305085C14BE}" name="PivotTable11" cacheId="18"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5">
  <location ref="A3:B13" firstHeaderRow="1" firstDataRow="1" firstDataCol="1"/>
  <pivotFields count="10">
    <pivotField axis="axisRow" showAll="0">
      <items count="110">
        <item x="38"/>
        <item x="11"/>
        <item x="0"/>
        <item x="27"/>
        <item x="31"/>
        <item x="61"/>
        <item x="57"/>
        <item x="9"/>
        <item x="6"/>
        <item h="1"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h="1" x="70"/>
        <item t="default"/>
      </items>
    </pivotField>
    <pivotField showAll="0"/>
    <pivotField showAll="0"/>
    <pivotField showAll="0"/>
    <pivotField dataField="1" showAll="0">
      <items count="4">
        <item x="1"/>
        <item x="2"/>
        <item x="0"/>
        <item t="default"/>
      </items>
    </pivotField>
    <pivotField showAll="0"/>
    <pivotField showAll="0"/>
    <pivotField showAll="0"/>
    <pivotField showAll="0">
      <items count="23">
        <item x="21"/>
        <item x="14"/>
        <item x="18"/>
        <item x="19"/>
        <item x="12"/>
        <item x="20"/>
        <item x="16"/>
        <item x="15"/>
        <item x="17"/>
        <item x="13"/>
        <item x="9"/>
        <item x="6"/>
        <item x="5"/>
        <item x="1"/>
        <item x="7"/>
        <item x="11"/>
        <item x="10"/>
        <item x="0"/>
        <item x="2"/>
        <item x="3"/>
        <item x="4"/>
        <item x="8"/>
        <item t="default"/>
      </items>
    </pivotField>
    <pivotField showAll="0">
      <items count="4">
        <item x="1"/>
        <item x="0"/>
        <item x="2"/>
        <item t="default"/>
      </items>
    </pivotField>
  </pivotFields>
  <rowFields count="1">
    <field x="0"/>
  </rowFields>
  <rowItems count="10">
    <i>
      <x/>
    </i>
    <i>
      <x v="1"/>
    </i>
    <i>
      <x v="2"/>
    </i>
    <i>
      <x v="3"/>
    </i>
    <i>
      <x v="4"/>
    </i>
    <i>
      <x v="5"/>
    </i>
    <i>
      <x v="6"/>
    </i>
    <i>
      <x v="7"/>
    </i>
    <i>
      <x v="8"/>
    </i>
    <i t="grand">
      <x/>
    </i>
  </rowItems>
  <colItems count="1">
    <i/>
  </colItems>
  <dataFields count="1">
    <dataField name="Count of Discount Category" fld="4" subtotal="count" baseField="0" baseItem="0"/>
  </dataFields>
  <formats count="6">
    <format dxfId="407">
      <pivotArea type="all" dataOnly="0" outline="0" fieldPosition="0"/>
    </format>
    <format dxfId="406">
      <pivotArea outline="0" collapsedLevelsAreSubtotals="1" fieldPosition="0"/>
    </format>
    <format dxfId="405">
      <pivotArea field="0" type="button" dataOnly="0" labelOnly="1" outline="0" axis="axisRow" fieldPosition="0"/>
    </format>
    <format dxfId="404">
      <pivotArea dataOnly="0" labelOnly="1" fieldPosition="0">
        <references count="1">
          <reference field="0" count="0"/>
        </references>
      </pivotArea>
    </format>
    <format dxfId="403">
      <pivotArea dataOnly="0" labelOnly="1" grandRow="1" outline="0" fieldPosition="0"/>
    </format>
    <format dxfId="402">
      <pivotArea dataOnly="0" labelOnly="1" outline="0" axis="axisValues" fieldPosition="0"/>
    </format>
  </formats>
  <chartFormats count="3">
    <chartFormat chart="7"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5BD0BEA-60B4-4910-A3EB-29E79D5C808F}" sourceName="Discount Category">
  <pivotTables>
    <pivotTable tabId="3" name="PivotTable1"/>
    <pivotTable tabId="10" name="PivotTable8"/>
    <pivotTable tabId="7" name="PivotTable5"/>
    <pivotTable tabId="5" name="PivotTable3"/>
    <pivotTable tabId="9" name="PivotTable7"/>
    <pivotTable tabId="12" name="PivotTable10"/>
    <pivotTable tabId="11" name="PivotTable9"/>
    <pivotTable tabId="4" name="PivotTable2"/>
    <pivotTable tabId="14" name="PivotTable11"/>
    <pivotTable tabId="8" name="PivotTable6"/>
    <pivotTable tabId="6" name="PivotTable4"/>
  </pivotTables>
  <data>
    <tabular pivotCacheId="136589222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rrected_Review" xr10:uid="{6FDCED7A-8FF1-4B46-BBF4-279CB0FC038E}" sourceName="Corrected Review">
  <pivotTables>
    <pivotTable tabId="3" name="PivotTable1"/>
  </pivotTables>
  <data>
    <tabular pivotCacheId="1365892225">
      <items count="24">
        <i x="14" s="1"/>
        <i x="18" s="1"/>
        <i x="0" s="1"/>
        <i x="11" s="1"/>
        <i x="4" s="1"/>
        <i x="9" s="1"/>
        <i x="3" s="1"/>
        <i x="10" s="1"/>
        <i x="20" s="1"/>
        <i x="7" s="1"/>
        <i x="13" s="1"/>
        <i x="1" s="1"/>
        <i x="5" s="1"/>
        <i x="22" s="1"/>
        <i x="23" s="1"/>
        <i x="16" s="1"/>
        <i x="2" s="1"/>
        <i x="17" s="1"/>
        <i x="19" s="1"/>
        <i x="8" s="1"/>
        <i x="12" s="1"/>
        <i x="15" s="1"/>
        <i x="6" s="1"/>
        <i x="2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Out_of_5" xr10:uid="{C28D3BCF-D8DA-45F8-81A6-FEE7DC9D043A}" sourceName="Rating Out of 5">
  <pivotTables>
    <pivotTable tabId="3" name="PivotTable1"/>
    <pivotTable tabId="10" name="PivotTable8"/>
    <pivotTable tabId="7" name="PivotTable5"/>
    <pivotTable tabId="5" name="PivotTable3"/>
    <pivotTable tabId="9" name="PivotTable7"/>
    <pivotTable tabId="12" name="PivotTable10"/>
    <pivotTable tabId="11" name="PivotTable9"/>
    <pivotTable tabId="4" name="PivotTable2"/>
    <pivotTable tabId="14" name="PivotTable11"/>
    <pivotTable tabId="8" name="PivotTable6"/>
    <pivotTable tabId="6" name="PivotTable4"/>
  </pivotTables>
  <data>
    <tabular pivotCacheId="1365892225">
      <items count="22">
        <i x="21" s="1"/>
        <i x="14" s="1"/>
        <i x="18" s="1"/>
        <i x="19" s="1"/>
        <i x="12" s="1"/>
        <i x="20" s="1"/>
        <i x="16" s="1"/>
        <i x="15" s="1"/>
        <i x="17" s="1"/>
        <i x="13" s="1"/>
        <i x="9" s="1"/>
        <i x="6" s="1"/>
        <i x="5" s="1"/>
        <i x="1" s="1"/>
        <i x="7" s="1"/>
        <i x="11" s="1"/>
        <i x="10" s="1"/>
        <i x="0" s="1"/>
        <i x="2" s="1"/>
        <i x="3" s="1"/>
        <i x="4"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F7AE0AF7-2620-44A1-86DF-5406576867F8}" sourceName="Rating Category">
  <pivotTables>
    <pivotTable tabId="3" name="PivotTable1"/>
    <pivotTable tabId="10" name="PivotTable8"/>
    <pivotTable tabId="7" name="PivotTable5"/>
    <pivotTable tabId="5" name="PivotTable3"/>
    <pivotTable tabId="9" name="PivotTable7"/>
    <pivotTable tabId="12" name="PivotTable10"/>
    <pivotTable tabId="11" name="PivotTable9"/>
    <pivotTable tabId="4" name="PivotTable2"/>
    <pivotTable tabId="14" name="PivotTable11"/>
    <pivotTable tabId="8" name="PivotTable6"/>
    <pivotTable tabId="6" name="PivotTable4"/>
  </pivotTables>
  <data>
    <tabular pivotCacheId="136589222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057B5087-4D5B-4896-B50E-692CDBE17774}" cache="Slicer_Discount_Category" caption="Discount Category" rowHeight="241300"/>
  <slicer name="Corrected Review" xr10:uid="{2762945F-6789-4ECF-98A2-C087508B68FE}" cache="Slicer_Corrected_Review" caption="Corrected Review" rowHeight="241300"/>
  <slicer name="Rating Out of 5" xr10:uid="{890FF822-0BAF-4589-9A32-C75FC81D54E8}" cache="Slicer_Rating_Out_of_5" caption="Rating Out of 5" rowHeight="241300"/>
  <slicer name="Rating Category" xr10:uid="{BBB7725F-AA6F-4EE4-B4D7-9D3F621B1C5B}"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9CF25718-AACE-42DF-A7C2-2A55BEA513E5}" cache="Slicer_Discount_Category" caption="Discount Category" rowHeight="241300"/>
  <slicer name="Rating Out of 6" xr10:uid="{E03E0249-7DAA-45A7-BCF1-845547FE2D0B}" cache="Slicer_Rating_Out_of_5" caption="Rating Out of 5" rowHeight="241300"/>
  <slicer name="Rating Category 1" xr10:uid="{5C53ABE9-F5FB-4979-AA0C-3DE79637EC3C}" cache="Slicer_Rating_Category" caption="Rating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9681-200F-4647-B875-C73355A48EE3}">
  <dimension ref="A3:C7"/>
  <sheetViews>
    <sheetView workbookViewId="0">
      <selection activeCell="C4" sqref="C4"/>
    </sheetView>
  </sheetViews>
  <sheetFormatPr defaultRowHeight="14.5" x14ac:dyDescent="0.35"/>
  <cols>
    <col min="1" max="1" width="12.90625" bestFit="1" customWidth="1"/>
    <col min="2" max="2" width="20.90625" bestFit="1" customWidth="1"/>
    <col min="3" max="3" width="22.7265625" bestFit="1" customWidth="1"/>
  </cols>
  <sheetData>
    <row r="3" spans="1:3" x14ac:dyDescent="0.35">
      <c r="A3" s="9" t="s">
        <v>119</v>
      </c>
      <c r="B3" s="10" t="s">
        <v>122</v>
      </c>
      <c r="C3" s="10" t="s">
        <v>123</v>
      </c>
    </row>
    <row r="4" spans="1:3" x14ac:dyDescent="0.35">
      <c r="A4" s="11" t="s">
        <v>124</v>
      </c>
      <c r="B4" s="12">
        <v>304.20000000000039</v>
      </c>
      <c r="C4" s="12">
        <v>45696</v>
      </c>
    </row>
    <row r="5" spans="1:3" x14ac:dyDescent="0.35">
      <c r="A5" s="11" t="s">
        <v>125</v>
      </c>
      <c r="B5" s="12">
        <v>109.2</v>
      </c>
      <c r="C5" s="12">
        <v>16770</v>
      </c>
    </row>
    <row r="6" spans="1:3" x14ac:dyDescent="0.35">
      <c r="A6" s="11" t="s">
        <v>126</v>
      </c>
      <c r="B6" s="12">
        <v>28.700000000000003</v>
      </c>
      <c r="C6" s="12">
        <v>9146</v>
      </c>
    </row>
    <row r="7" spans="1:3" x14ac:dyDescent="0.35">
      <c r="A7" s="11" t="s">
        <v>121</v>
      </c>
      <c r="B7" s="12">
        <v>442.10000000000036</v>
      </c>
      <c r="C7" s="12">
        <v>71612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7CB5-3F90-4FA8-A37C-8C07E2DE8DC1}">
  <dimension ref="A3:B7"/>
  <sheetViews>
    <sheetView workbookViewId="0">
      <selection activeCell="B18" sqref="B18"/>
    </sheetView>
  </sheetViews>
  <sheetFormatPr defaultRowHeight="14.5" x14ac:dyDescent="0.35"/>
  <cols>
    <col min="1" max="1" width="12.90625" style="10" bestFit="1" customWidth="1"/>
    <col min="2" max="2" width="15.81640625" style="10" bestFit="1" customWidth="1"/>
    <col min="3" max="16384" width="8.7265625" style="10"/>
  </cols>
  <sheetData>
    <row r="3" spans="1:2" x14ac:dyDescent="0.35">
      <c r="A3" s="9" t="s">
        <v>119</v>
      </c>
      <c r="B3" s="10" t="s">
        <v>127</v>
      </c>
    </row>
    <row r="4" spans="1:2" x14ac:dyDescent="0.35">
      <c r="A4" s="11" t="s">
        <v>124</v>
      </c>
      <c r="B4" s="12">
        <v>80</v>
      </c>
    </row>
    <row r="5" spans="1:2" x14ac:dyDescent="0.35">
      <c r="A5" s="11" t="s">
        <v>125</v>
      </c>
      <c r="B5" s="12">
        <v>23</v>
      </c>
    </row>
    <row r="6" spans="1:2" x14ac:dyDescent="0.35">
      <c r="A6" s="11" t="s">
        <v>126</v>
      </c>
      <c r="B6" s="12">
        <v>12</v>
      </c>
    </row>
    <row r="7" spans="1:2" x14ac:dyDescent="0.35">
      <c r="A7" s="11" t="s">
        <v>121</v>
      </c>
      <c r="B7" s="12">
        <v>115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10B91-E1B1-4218-B9ED-C2008FC93A1C}">
  <dimension ref="A3:B14"/>
  <sheetViews>
    <sheetView workbookViewId="0">
      <selection activeCell="B19" sqref="B19"/>
    </sheetView>
  </sheetViews>
  <sheetFormatPr defaultRowHeight="14.5" x14ac:dyDescent="0.35"/>
  <cols>
    <col min="1" max="1" width="12.90625" style="10" bestFit="1" customWidth="1"/>
    <col min="2" max="2" width="15.1796875" style="10" bestFit="1" customWidth="1"/>
    <col min="3" max="9" width="1.81640625" style="10" bestFit="1" customWidth="1"/>
    <col min="10" max="25" width="2.81640625" style="10" bestFit="1" customWidth="1"/>
    <col min="26" max="26" width="10.7265625" style="10" bestFit="1" customWidth="1"/>
    <col min="27" max="16384" width="8.7265625" style="10"/>
  </cols>
  <sheetData>
    <row r="3" spans="1:2" x14ac:dyDescent="0.35">
      <c r="A3" s="9" t="s">
        <v>119</v>
      </c>
      <c r="B3" s="10" t="s">
        <v>128</v>
      </c>
    </row>
    <row r="4" spans="1:2" x14ac:dyDescent="0.35">
      <c r="A4" s="11">
        <v>0</v>
      </c>
      <c r="B4" s="12">
        <v>20.289999999999996</v>
      </c>
    </row>
    <row r="5" spans="1:2" x14ac:dyDescent="0.35">
      <c r="A5" s="11">
        <v>1</v>
      </c>
      <c r="B5" s="12">
        <v>2.5499999999999998</v>
      </c>
    </row>
    <row r="6" spans="1:2" x14ac:dyDescent="0.35">
      <c r="A6" s="11">
        <v>2</v>
      </c>
      <c r="B6" s="12">
        <v>2.63</v>
      </c>
    </row>
    <row r="7" spans="1:2" x14ac:dyDescent="0.35">
      <c r="A7" s="11">
        <v>3</v>
      </c>
      <c r="B7" s="12">
        <v>0.49</v>
      </c>
    </row>
    <row r="8" spans="1:2" x14ac:dyDescent="0.35">
      <c r="A8" s="11">
        <v>5</v>
      </c>
      <c r="B8" s="12">
        <v>2.56</v>
      </c>
    </row>
    <row r="9" spans="1:2" x14ac:dyDescent="0.35">
      <c r="A9" s="11">
        <v>6</v>
      </c>
      <c r="B9" s="12">
        <v>2.25</v>
      </c>
    </row>
    <row r="10" spans="1:2" x14ac:dyDescent="0.35">
      <c r="A10" s="11">
        <v>7</v>
      </c>
      <c r="B10" s="12">
        <v>1.8800000000000001</v>
      </c>
    </row>
    <row r="11" spans="1:2" x14ac:dyDescent="0.35">
      <c r="A11" s="11">
        <v>9</v>
      </c>
      <c r="B11" s="12">
        <v>1.33</v>
      </c>
    </row>
    <row r="12" spans="1:2" x14ac:dyDescent="0.35">
      <c r="A12" s="11">
        <v>10</v>
      </c>
      <c r="B12" s="12">
        <v>0.54</v>
      </c>
    </row>
    <row r="13" spans="1:2" x14ac:dyDescent="0.35">
      <c r="A13" s="11">
        <v>12</v>
      </c>
      <c r="B13" s="12">
        <v>1.19</v>
      </c>
    </row>
    <row r="14" spans="1:2" x14ac:dyDescent="0.35">
      <c r="A14" s="11" t="s">
        <v>121</v>
      </c>
      <c r="B14" s="12">
        <v>35.709999999999987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7270C-A89E-4A24-9FDD-A12F7D3BC9E3}">
  <dimension ref="A3:B28"/>
  <sheetViews>
    <sheetView workbookViewId="0">
      <selection activeCell="L9" sqref="L9"/>
    </sheetView>
  </sheetViews>
  <sheetFormatPr defaultRowHeight="14.5" x14ac:dyDescent="0.35"/>
  <cols>
    <col min="1" max="1" width="12.90625" style="10" bestFit="1" customWidth="1"/>
    <col min="2" max="2" width="22.453125" style="10" bestFit="1" customWidth="1"/>
    <col min="3" max="16384" width="8.7265625" style="10"/>
  </cols>
  <sheetData>
    <row r="3" spans="1:2" x14ac:dyDescent="0.35">
      <c r="A3" s="13" t="s">
        <v>119</v>
      </c>
      <c r="B3" s="14" t="s">
        <v>130</v>
      </c>
    </row>
    <row r="4" spans="1:2" x14ac:dyDescent="0.35">
      <c r="A4" s="15">
        <v>0</v>
      </c>
      <c r="B4" s="16">
        <v>58</v>
      </c>
    </row>
    <row r="5" spans="1:2" x14ac:dyDescent="0.35">
      <c r="A5" s="15">
        <v>1</v>
      </c>
      <c r="B5" s="16">
        <v>6</v>
      </c>
    </row>
    <row r="6" spans="1:2" x14ac:dyDescent="0.35">
      <c r="A6" s="15">
        <v>2</v>
      </c>
      <c r="B6" s="16">
        <v>6</v>
      </c>
    </row>
    <row r="7" spans="1:2" x14ac:dyDescent="0.35">
      <c r="A7" s="15">
        <v>3</v>
      </c>
      <c r="B7" s="16">
        <v>1</v>
      </c>
    </row>
    <row r="8" spans="1:2" x14ac:dyDescent="0.35">
      <c r="A8" s="15">
        <v>5</v>
      </c>
      <c r="B8" s="16">
        <v>7</v>
      </c>
    </row>
    <row r="9" spans="1:2" x14ac:dyDescent="0.35">
      <c r="A9" s="15">
        <v>6</v>
      </c>
      <c r="B9" s="16">
        <v>6</v>
      </c>
    </row>
    <row r="10" spans="1:2" x14ac:dyDescent="0.35">
      <c r="A10" s="15">
        <v>7</v>
      </c>
      <c r="B10" s="16">
        <v>4</v>
      </c>
    </row>
    <row r="11" spans="1:2" x14ac:dyDescent="0.35">
      <c r="A11" s="15">
        <v>9</v>
      </c>
      <c r="B11" s="16">
        <v>3</v>
      </c>
    </row>
    <row r="12" spans="1:2" x14ac:dyDescent="0.35">
      <c r="A12" s="15">
        <v>10</v>
      </c>
      <c r="B12" s="16">
        <v>1</v>
      </c>
    </row>
    <row r="13" spans="1:2" x14ac:dyDescent="0.35">
      <c r="A13" s="15">
        <v>12</v>
      </c>
      <c r="B13" s="16">
        <v>4</v>
      </c>
    </row>
    <row r="14" spans="1:2" x14ac:dyDescent="0.35">
      <c r="A14" s="15">
        <v>13</v>
      </c>
      <c r="B14" s="16">
        <v>3</v>
      </c>
    </row>
    <row r="15" spans="1:2" x14ac:dyDescent="0.35">
      <c r="A15" s="15">
        <v>14</v>
      </c>
      <c r="B15" s="16">
        <v>2</v>
      </c>
    </row>
    <row r="16" spans="1:2" x14ac:dyDescent="0.35">
      <c r="A16" s="15">
        <v>15</v>
      </c>
      <c r="B16" s="16">
        <v>2</v>
      </c>
    </row>
    <row r="17" spans="1:2" x14ac:dyDescent="0.35">
      <c r="A17" s="15">
        <v>16</v>
      </c>
      <c r="B17" s="16">
        <v>1</v>
      </c>
    </row>
    <row r="18" spans="1:2" x14ac:dyDescent="0.35">
      <c r="A18" s="15">
        <v>17</v>
      </c>
      <c r="B18" s="16">
        <v>1</v>
      </c>
    </row>
    <row r="19" spans="1:2" x14ac:dyDescent="0.35">
      <c r="A19" s="15">
        <v>20</v>
      </c>
      <c r="B19" s="16">
        <v>2</v>
      </c>
    </row>
    <row r="20" spans="1:2" x14ac:dyDescent="0.35">
      <c r="A20" s="15">
        <v>24</v>
      </c>
      <c r="B20" s="16">
        <v>1</v>
      </c>
    </row>
    <row r="21" spans="1:2" x14ac:dyDescent="0.35">
      <c r="A21" s="15">
        <v>32</v>
      </c>
      <c r="B21" s="16">
        <v>1</v>
      </c>
    </row>
    <row r="22" spans="1:2" x14ac:dyDescent="0.35">
      <c r="A22" s="15">
        <v>36</v>
      </c>
      <c r="B22" s="16">
        <v>1</v>
      </c>
    </row>
    <row r="23" spans="1:2" x14ac:dyDescent="0.35">
      <c r="A23" s="15">
        <v>39</v>
      </c>
      <c r="B23" s="16">
        <v>1</v>
      </c>
    </row>
    <row r="24" spans="1:2" x14ac:dyDescent="0.35">
      <c r="A24" s="15">
        <v>44</v>
      </c>
      <c r="B24" s="16">
        <v>1</v>
      </c>
    </row>
    <row r="25" spans="1:2" x14ac:dyDescent="0.35">
      <c r="A25" s="15">
        <v>49</v>
      </c>
      <c r="B25" s="16">
        <v>1</v>
      </c>
    </row>
    <row r="26" spans="1:2" x14ac:dyDescent="0.35">
      <c r="A26" s="15">
        <v>55</v>
      </c>
      <c r="B26" s="16">
        <v>1</v>
      </c>
    </row>
    <row r="27" spans="1:2" x14ac:dyDescent="0.35">
      <c r="A27" s="15">
        <v>69</v>
      </c>
      <c r="B27" s="16">
        <v>1</v>
      </c>
    </row>
    <row r="28" spans="1:2" x14ac:dyDescent="0.35">
      <c r="A28" s="15" t="s">
        <v>121</v>
      </c>
      <c r="B28" s="16">
        <v>115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7CE3-B26D-45E1-80A0-40D71875392B}">
  <dimension ref="A3:B13"/>
  <sheetViews>
    <sheetView zoomScale="80" zoomScaleNormal="80" workbookViewId="0">
      <selection activeCell="H19" sqref="H19"/>
    </sheetView>
  </sheetViews>
  <sheetFormatPr defaultRowHeight="14.5" x14ac:dyDescent="0.35"/>
  <cols>
    <col min="1" max="1" width="14.1796875" style="10" bestFit="1" customWidth="1"/>
    <col min="2" max="2" width="16" style="10" bestFit="1" customWidth="1"/>
    <col min="3" max="16384" width="8.7265625" style="10"/>
  </cols>
  <sheetData>
    <row r="3" spans="1:2" x14ac:dyDescent="0.35">
      <c r="A3" s="9" t="s">
        <v>119</v>
      </c>
      <c r="B3" s="10" t="s">
        <v>128</v>
      </c>
    </row>
    <row r="4" spans="1:2" x14ac:dyDescent="0.35">
      <c r="A4" s="11">
        <v>0</v>
      </c>
      <c r="B4" s="12">
        <v>20.289999999999996</v>
      </c>
    </row>
    <row r="5" spans="1:2" x14ac:dyDescent="0.35">
      <c r="A5" s="11">
        <v>1</v>
      </c>
      <c r="B5" s="12">
        <v>2.5499999999999998</v>
      </c>
    </row>
    <row r="6" spans="1:2" x14ac:dyDescent="0.35">
      <c r="A6" s="11">
        <v>2</v>
      </c>
      <c r="B6" s="12">
        <v>2.63</v>
      </c>
    </row>
    <row r="7" spans="1:2" x14ac:dyDescent="0.35">
      <c r="A7" s="11">
        <v>3</v>
      </c>
      <c r="B7" s="12">
        <v>0.49</v>
      </c>
    </row>
    <row r="8" spans="1:2" x14ac:dyDescent="0.35">
      <c r="A8" s="11">
        <v>5</v>
      </c>
      <c r="B8" s="12">
        <v>2.56</v>
      </c>
    </row>
    <row r="9" spans="1:2" x14ac:dyDescent="0.35">
      <c r="A9" s="11">
        <v>6</v>
      </c>
      <c r="B9" s="12">
        <v>2.25</v>
      </c>
    </row>
    <row r="10" spans="1:2" x14ac:dyDescent="0.35">
      <c r="A10" s="11">
        <v>7</v>
      </c>
      <c r="B10" s="12">
        <v>1.8800000000000001</v>
      </c>
    </row>
    <row r="11" spans="1:2" x14ac:dyDescent="0.35">
      <c r="A11" s="11">
        <v>9</v>
      </c>
      <c r="B11" s="12">
        <v>1.33</v>
      </c>
    </row>
    <row r="12" spans="1:2" x14ac:dyDescent="0.35">
      <c r="A12" s="11">
        <v>10</v>
      </c>
      <c r="B12" s="12">
        <v>0.54</v>
      </c>
    </row>
    <row r="13" spans="1:2" x14ac:dyDescent="0.35">
      <c r="A13" s="11" t="s">
        <v>121</v>
      </c>
      <c r="B13" s="12">
        <v>34.519999999999989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94BD7-C09B-4D4A-A7D3-B39E36B7BAC1}">
  <dimension ref="A3:B7"/>
  <sheetViews>
    <sheetView topLeftCell="A2" workbookViewId="0">
      <selection activeCell="C19" sqref="C19"/>
    </sheetView>
  </sheetViews>
  <sheetFormatPr defaultRowHeight="14.5" x14ac:dyDescent="0.35"/>
  <cols>
    <col min="1" max="1" width="12.90625" style="10" bestFit="1" customWidth="1"/>
    <col min="2" max="2" width="23.453125" style="10" bestFit="1" customWidth="1"/>
    <col min="3" max="16384" width="8.7265625" style="10"/>
  </cols>
  <sheetData>
    <row r="3" spans="1:2" x14ac:dyDescent="0.35">
      <c r="A3" s="9" t="s">
        <v>119</v>
      </c>
      <c r="B3" s="10" t="s">
        <v>129</v>
      </c>
    </row>
    <row r="4" spans="1:2" x14ac:dyDescent="0.35">
      <c r="A4" s="11" t="s">
        <v>124</v>
      </c>
      <c r="B4" s="12">
        <v>223</v>
      </c>
    </row>
    <row r="5" spans="1:2" x14ac:dyDescent="0.35">
      <c r="A5" s="11" t="s">
        <v>125</v>
      </c>
      <c r="B5" s="12">
        <v>331</v>
      </c>
    </row>
    <row r="6" spans="1:2" x14ac:dyDescent="0.35">
      <c r="A6" s="11" t="s">
        <v>126</v>
      </c>
      <c r="B6" s="12">
        <v>169</v>
      </c>
    </row>
    <row r="7" spans="1:2" x14ac:dyDescent="0.35">
      <c r="A7" s="11" t="s">
        <v>121</v>
      </c>
      <c r="B7" s="12">
        <v>723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CB5F-27D1-42B2-A626-79602DFE7E0A}">
  <dimension ref="A1:B14"/>
  <sheetViews>
    <sheetView workbookViewId="0">
      <selection activeCell="A6" sqref="A6"/>
    </sheetView>
  </sheetViews>
  <sheetFormatPr defaultRowHeight="14.5" x14ac:dyDescent="0.35"/>
  <cols>
    <col min="1" max="1" width="61.81640625" style="10" bestFit="1" customWidth="1"/>
    <col min="2" max="2" width="15.1796875" style="10" bestFit="1" customWidth="1"/>
    <col min="3" max="16384" width="8.7265625" style="10"/>
  </cols>
  <sheetData>
    <row r="1" spans="1:2" x14ac:dyDescent="0.35">
      <c r="A1" s="13" t="s">
        <v>1</v>
      </c>
      <c r="B1" s="14" t="s">
        <v>131</v>
      </c>
    </row>
    <row r="3" spans="1:2" x14ac:dyDescent="0.35">
      <c r="A3" s="13" t="s">
        <v>119</v>
      </c>
      <c r="B3" s="14" t="s">
        <v>132</v>
      </c>
    </row>
    <row r="4" spans="1:2" x14ac:dyDescent="0.35">
      <c r="A4" s="15" t="s">
        <v>40</v>
      </c>
      <c r="B4" s="16">
        <v>0.38</v>
      </c>
    </row>
    <row r="5" spans="1:2" x14ac:dyDescent="0.35">
      <c r="A5" s="15" t="s">
        <v>14</v>
      </c>
      <c r="B5" s="16">
        <v>0.34</v>
      </c>
    </row>
    <row r="6" spans="1:2" x14ac:dyDescent="0.35">
      <c r="A6" s="15" t="s">
        <v>3</v>
      </c>
      <c r="B6" s="16">
        <v>0.38</v>
      </c>
    </row>
    <row r="7" spans="1:2" x14ac:dyDescent="0.35">
      <c r="A7" s="15" t="s">
        <v>30</v>
      </c>
      <c r="B7" s="16">
        <v>0.32</v>
      </c>
    </row>
    <row r="8" spans="1:2" x14ac:dyDescent="0.35">
      <c r="A8" s="15" t="s">
        <v>33</v>
      </c>
      <c r="B8" s="16">
        <v>0.34</v>
      </c>
    </row>
    <row r="9" spans="1:2" x14ac:dyDescent="0.35">
      <c r="A9" s="15" t="s">
        <v>63</v>
      </c>
      <c r="B9" s="16">
        <v>0.49</v>
      </c>
    </row>
    <row r="10" spans="1:2" x14ac:dyDescent="0.35">
      <c r="A10" s="15" t="s">
        <v>59</v>
      </c>
      <c r="B10" s="16">
        <v>0.27</v>
      </c>
    </row>
    <row r="11" spans="1:2" x14ac:dyDescent="0.35">
      <c r="A11" s="15" t="s">
        <v>12</v>
      </c>
      <c r="B11" s="16">
        <v>0.45</v>
      </c>
    </row>
    <row r="12" spans="1:2" x14ac:dyDescent="0.35">
      <c r="A12" s="15" t="s">
        <v>9</v>
      </c>
      <c r="B12" s="16">
        <v>0.24</v>
      </c>
    </row>
    <row r="13" spans="1:2" x14ac:dyDescent="0.35">
      <c r="A13" s="15" t="s">
        <v>103</v>
      </c>
      <c r="B13" s="16">
        <v>0.24</v>
      </c>
    </row>
    <row r="14" spans="1:2" x14ac:dyDescent="0.35">
      <c r="A14" s="15" t="s">
        <v>121</v>
      </c>
      <c r="B14" s="16">
        <v>0.49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75AC-21DC-4A44-A105-4EF59B378D67}">
  <dimension ref="A3:B14"/>
  <sheetViews>
    <sheetView workbookViewId="0">
      <selection activeCell="A18" sqref="A18"/>
    </sheetView>
  </sheetViews>
  <sheetFormatPr defaultRowHeight="14.5" x14ac:dyDescent="0.35"/>
  <cols>
    <col min="1" max="1" width="61.81640625" style="10" bestFit="1" customWidth="1"/>
    <col min="2" max="2" width="23.453125" style="10" bestFit="1" customWidth="1"/>
    <col min="3" max="16384" width="8.7265625" style="10"/>
  </cols>
  <sheetData>
    <row r="3" spans="1:2" x14ac:dyDescent="0.35">
      <c r="A3" s="9" t="s">
        <v>119</v>
      </c>
      <c r="B3" s="10" t="s">
        <v>129</v>
      </c>
    </row>
    <row r="4" spans="1:2" x14ac:dyDescent="0.35">
      <c r="A4" s="11" t="s">
        <v>40</v>
      </c>
      <c r="B4" s="12">
        <v>2</v>
      </c>
    </row>
    <row r="5" spans="1:2" x14ac:dyDescent="0.35">
      <c r="A5" s="11" t="s">
        <v>14</v>
      </c>
      <c r="B5" s="12">
        <v>39</v>
      </c>
    </row>
    <row r="6" spans="1:2" x14ac:dyDescent="0.35">
      <c r="A6" s="11" t="s">
        <v>3</v>
      </c>
      <c r="B6" s="12">
        <v>2</v>
      </c>
    </row>
    <row r="7" spans="1:2" x14ac:dyDescent="0.35">
      <c r="A7" s="11" t="s">
        <v>30</v>
      </c>
      <c r="B7" s="12">
        <v>13</v>
      </c>
    </row>
    <row r="8" spans="1:2" x14ac:dyDescent="0.35">
      <c r="A8" s="11" t="s">
        <v>33</v>
      </c>
      <c r="B8" s="12">
        <v>12</v>
      </c>
    </row>
    <row r="9" spans="1:2" x14ac:dyDescent="0.35">
      <c r="A9" s="11" t="s">
        <v>63</v>
      </c>
      <c r="B9" s="12">
        <v>69</v>
      </c>
    </row>
    <row r="10" spans="1:2" x14ac:dyDescent="0.35">
      <c r="A10" s="11" t="s">
        <v>59</v>
      </c>
      <c r="B10" s="12">
        <v>0</v>
      </c>
    </row>
    <row r="11" spans="1:2" x14ac:dyDescent="0.35">
      <c r="A11" s="11" t="s">
        <v>12</v>
      </c>
      <c r="B11" s="12">
        <v>5</v>
      </c>
    </row>
    <row r="12" spans="1:2" x14ac:dyDescent="0.35">
      <c r="A12" s="11" t="s">
        <v>9</v>
      </c>
      <c r="B12" s="12">
        <v>55</v>
      </c>
    </row>
    <row r="13" spans="1:2" x14ac:dyDescent="0.35">
      <c r="A13" s="11" t="s">
        <v>103</v>
      </c>
      <c r="B13" s="12">
        <v>0</v>
      </c>
    </row>
    <row r="14" spans="1:2" x14ac:dyDescent="0.35">
      <c r="A14" s="11" t="s">
        <v>121</v>
      </c>
      <c r="B14" s="12">
        <v>197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F99F-C83B-4A26-A9C6-869A2CD0EFC8}">
  <dimension ref="A1:B12"/>
  <sheetViews>
    <sheetView workbookViewId="0">
      <selection activeCell="D14" sqref="D14"/>
    </sheetView>
  </sheetViews>
  <sheetFormatPr defaultRowHeight="14.5" x14ac:dyDescent="0.35"/>
  <cols>
    <col min="1" max="1" width="61.81640625" style="10" bestFit="1" customWidth="1"/>
    <col min="2" max="2" width="20.90625" style="10" bestFit="1" customWidth="1"/>
    <col min="3" max="16384" width="8.7265625" style="10"/>
  </cols>
  <sheetData>
    <row r="1" spans="1:2" x14ac:dyDescent="0.35">
      <c r="A1" s="13" t="s">
        <v>115</v>
      </c>
      <c r="B1" s="14" t="s">
        <v>131</v>
      </c>
    </row>
    <row r="3" spans="1:2" x14ac:dyDescent="0.35">
      <c r="A3" s="13" t="s">
        <v>119</v>
      </c>
      <c r="B3" s="14" t="s">
        <v>133</v>
      </c>
    </row>
    <row r="4" spans="1:2" x14ac:dyDescent="0.35">
      <c r="A4" s="15" t="s">
        <v>40</v>
      </c>
      <c r="B4" s="16">
        <v>4.5</v>
      </c>
    </row>
    <row r="5" spans="1:2" x14ac:dyDescent="0.35">
      <c r="A5" s="15" t="s">
        <v>14</v>
      </c>
      <c r="B5" s="16">
        <v>4.7</v>
      </c>
    </row>
    <row r="6" spans="1:2" x14ac:dyDescent="0.35">
      <c r="A6" s="15" t="s">
        <v>3</v>
      </c>
      <c r="B6" s="16">
        <v>4.5</v>
      </c>
    </row>
    <row r="7" spans="1:2" x14ac:dyDescent="0.35">
      <c r="A7" s="15" t="s">
        <v>30</v>
      </c>
      <c r="B7" s="16">
        <v>3.8</v>
      </c>
    </row>
    <row r="8" spans="1:2" x14ac:dyDescent="0.35">
      <c r="A8" s="15" t="s">
        <v>33</v>
      </c>
      <c r="B8" s="16">
        <v>4.7</v>
      </c>
    </row>
    <row r="9" spans="1:2" x14ac:dyDescent="0.35">
      <c r="A9" s="15" t="s">
        <v>63</v>
      </c>
      <c r="B9" s="16">
        <v>2.8</v>
      </c>
    </row>
    <row r="10" spans="1:2" x14ac:dyDescent="0.35">
      <c r="A10" s="15" t="s">
        <v>59</v>
      </c>
      <c r="B10" s="16">
        <v>3.8</v>
      </c>
    </row>
    <row r="11" spans="1:2" x14ac:dyDescent="0.35">
      <c r="A11" s="15" t="s">
        <v>12</v>
      </c>
      <c r="B11" s="16">
        <v>3.8</v>
      </c>
    </row>
    <row r="12" spans="1:2" x14ac:dyDescent="0.35">
      <c r="A12" s="15" t="s">
        <v>121</v>
      </c>
      <c r="B12" s="16">
        <v>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7F0C-5D7A-4171-B3BA-BFF1D88383B7}">
  <dimension ref="A3:C7"/>
  <sheetViews>
    <sheetView workbookViewId="0">
      <selection activeCell="C12" sqref="C12"/>
    </sheetView>
  </sheetViews>
  <sheetFormatPr defaultRowHeight="14.5" x14ac:dyDescent="0.35"/>
  <cols>
    <col min="1" max="1" width="12.90625" style="10" bestFit="1" customWidth="1"/>
    <col min="2" max="2" width="20.90625" style="10" bestFit="1" customWidth="1"/>
    <col min="3" max="3" width="23.453125" style="10" bestFit="1" customWidth="1"/>
    <col min="4" max="16384" width="8.7265625" style="10"/>
  </cols>
  <sheetData>
    <row r="3" spans="1:3" x14ac:dyDescent="0.35">
      <c r="A3" s="13" t="s">
        <v>119</v>
      </c>
      <c r="B3" s="14" t="s">
        <v>122</v>
      </c>
      <c r="C3" s="14" t="s">
        <v>129</v>
      </c>
    </row>
    <row r="4" spans="1:3" x14ac:dyDescent="0.35">
      <c r="A4" s="15" t="s">
        <v>120</v>
      </c>
      <c r="B4" s="16">
        <v>241.40000000000018</v>
      </c>
      <c r="C4" s="16">
        <v>334</v>
      </c>
    </row>
    <row r="5" spans="1:3" x14ac:dyDescent="0.35">
      <c r="A5" s="15" t="s">
        <v>135</v>
      </c>
      <c r="B5" s="16">
        <v>72.199999999999974</v>
      </c>
      <c r="C5" s="16">
        <v>50</v>
      </c>
    </row>
    <row r="6" spans="1:3" x14ac:dyDescent="0.35">
      <c r="A6" s="15" t="s">
        <v>136</v>
      </c>
      <c r="B6" s="16">
        <v>128.5</v>
      </c>
      <c r="C6" s="16">
        <v>339</v>
      </c>
    </row>
    <row r="7" spans="1:3" x14ac:dyDescent="0.35">
      <c r="A7" s="15" t="s">
        <v>121</v>
      </c>
      <c r="B7" s="16">
        <v>442.10000000000014</v>
      </c>
      <c r="C7" s="16">
        <v>723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EB0D6-AE7B-46D6-A42F-2E33866C95B6}">
  <dimension ref="A3:B13"/>
  <sheetViews>
    <sheetView zoomScale="70" zoomScaleNormal="70" workbookViewId="0">
      <selection activeCell="A9" sqref="A9"/>
    </sheetView>
  </sheetViews>
  <sheetFormatPr defaultRowHeight="14.5" x14ac:dyDescent="0.35"/>
  <cols>
    <col min="1" max="1" width="61.81640625" style="10" bestFit="1" customWidth="1"/>
    <col min="2" max="2" width="26.453125" style="10" bestFit="1" customWidth="1"/>
    <col min="3" max="16384" width="8.7265625" style="10"/>
  </cols>
  <sheetData>
    <row r="3" spans="1:2" x14ac:dyDescent="0.35">
      <c r="A3" s="13" t="s">
        <v>119</v>
      </c>
      <c r="B3" s="14" t="s">
        <v>134</v>
      </c>
    </row>
    <row r="4" spans="1:2" x14ac:dyDescent="0.35">
      <c r="A4" s="15" t="s">
        <v>40</v>
      </c>
      <c r="B4" s="16">
        <v>1</v>
      </c>
    </row>
    <row r="5" spans="1:2" x14ac:dyDescent="0.35">
      <c r="A5" s="15" t="s">
        <v>14</v>
      </c>
      <c r="B5" s="16">
        <v>1</v>
      </c>
    </row>
    <row r="6" spans="1:2" x14ac:dyDescent="0.35">
      <c r="A6" s="15" t="s">
        <v>3</v>
      </c>
      <c r="B6" s="16">
        <v>1</v>
      </c>
    </row>
    <row r="7" spans="1:2" x14ac:dyDescent="0.35">
      <c r="A7" s="15" t="s">
        <v>30</v>
      </c>
      <c r="B7" s="16">
        <v>1</v>
      </c>
    </row>
    <row r="8" spans="1:2" x14ac:dyDescent="0.35">
      <c r="A8" s="15" t="s">
        <v>33</v>
      </c>
      <c r="B8" s="16">
        <v>1</v>
      </c>
    </row>
    <row r="9" spans="1:2" x14ac:dyDescent="0.35">
      <c r="A9" s="15" t="s">
        <v>63</v>
      </c>
      <c r="B9" s="16">
        <v>1</v>
      </c>
    </row>
    <row r="10" spans="1:2" x14ac:dyDescent="0.35">
      <c r="A10" s="15" t="s">
        <v>59</v>
      </c>
      <c r="B10" s="16">
        <v>1</v>
      </c>
    </row>
    <row r="11" spans="1:2" x14ac:dyDescent="0.35">
      <c r="A11" s="15" t="s">
        <v>12</v>
      </c>
      <c r="B11" s="16">
        <v>1</v>
      </c>
    </row>
    <row r="12" spans="1:2" x14ac:dyDescent="0.35">
      <c r="A12" s="15" t="s">
        <v>9</v>
      </c>
      <c r="B12" s="16">
        <v>1</v>
      </c>
    </row>
    <row r="13" spans="1:2" x14ac:dyDescent="0.35">
      <c r="A13" s="15" t="s">
        <v>121</v>
      </c>
      <c r="B13" s="16">
        <v>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C0F03-D9EB-418C-B84E-84B5A07AB5F0}">
  <dimension ref="A1"/>
  <sheetViews>
    <sheetView tabSelected="1" topLeftCell="A5" zoomScale="56" zoomScaleNormal="56" workbookViewId="0">
      <selection activeCell="V20" sqref="V20"/>
    </sheetView>
  </sheetViews>
  <sheetFormatPr defaultRowHeight="14" x14ac:dyDescent="0.3"/>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477E8-B3E0-449E-895E-3C37E1A65BAD}">
  <dimension ref="A1:M116"/>
  <sheetViews>
    <sheetView topLeftCell="B91" zoomScale="80" zoomScaleNormal="80" workbookViewId="0">
      <selection activeCell="H105" sqref="H105"/>
    </sheetView>
  </sheetViews>
  <sheetFormatPr defaultRowHeight="14" x14ac:dyDescent="0.3"/>
  <cols>
    <col min="1" max="1" width="89.1796875" style="2" bestFit="1" customWidth="1"/>
    <col min="2" max="3" width="18.453125" style="6" bestFit="1" customWidth="1"/>
    <col min="4" max="4" width="8.1796875" style="7" bestFit="1" customWidth="1"/>
    <col min="5" max="5" width="16.1796875" style="2" bestFit="1" customWidth="1"/>
    <col min="6" max="6" width="15.6328125" style="2" bestFit="1" customWidth="1"/>
    <col min="7" max="7" width="6.81640625" style="2" bestFit="1" customWidth="1"/>
    <col min="8" max="8" width="17.90625" style="2" bestFit="1" customWidth="1"/>
    <col min="9" max="9" width="13.54296875" style="2" bestFit="1" customWidth="1"/>
    <col min="10" max="10" width="14.08984375" style="2" bestFit="1" customWidth="1"/>
    <col min="11" max="11" width="8.7265625" style="2"/>
    <col min="12" max="12" width="5.08984375" style="2" bestFit="1" customWidth="1"/>
    <col min="13" max="13" width="12.7265625" style="2" bestFit="1" customWidth="1"/>
    <col min="14" max="16384" width="8.7265625" style="2"/>
  </cols>
  <sheetData>
    <row r="1" spans="1:10" s="1" customFormat="1" x14ac:dyDescent="0.3">
      <c r="A1" s="1" t="s">
        <v>0</v>
      </c>
      <c r="B1" s="3" t="s">
        <v>113</v>
      </c>
      <c r="C1" s="3" t="s">
        <v>112</v>
      </c>
      <c r="D1" s="4" t="s">
        <v>1</v>
      </c>
      <c r="E1" s="1" t="s">
        <v>118</v>
      </c>
      <c r="F1" s="1" t="s">
        <v>116</v>
      </c>
      <c r="G1" s="1" t="s">
        <v>2</v>
      </c>
      <c r="H1" s="5" t="s">
        <v>114</v>
      </c>
      <c r="I1" s="1" t="s">
        <v>115</v>
      </c>
      <c r="J1" s="1" t="s">
        <v>117</v>
      </c>
    </row>
    <row r="2" spans="1:10" x14ac:dyDescent="0.3">
      <c r="A2" s="2" t="s">
        <v>3</v>
      </c>
      <c r="B2" s="6">
        <v>950</v>
      </c>
      <c r="C2" s="6">
        <v>1525</v>
      </c>
      <c r="D2" s="7">
        <v>0.38</v>
      </c>
      <c r="E2" s="7" t="str">
        <f>IF(D2&gt;40%,"High",IF(D2&gt;20%,"Medium","Low"))</f>
        <v>Medium</v>
      </c>
      <c r="F2" s="6">
        <f t="shared" ref="F2:F33" si="0">C2-B2</f>
        <v>575</v>
      </c>
      <c r="G2" s="2">
        <v>-2</v>
      </c>
      <c r="H2" s="2">
        <f>ABS(G2)</f>
        <v>2</v>
      </c>
      <c r="I2" s="2">
        <v>4.5</v>
      </c>
      <c r="J2" s="2" t="str">
        <f>IF(I2&gt;=4.5,"Excellent",IF(I2&gt;=3,"Average","poor"))</f>
        <v>Excellent</v>
      </c>
    </row>
    <row r="3" spans="1:10" x14ac:dyDescent="0.3">
      <c r="A3" s="2" t="s">
        <v>4</v>
      </c>
      <c r="B3" s="6">
        <v>527</v>
      </c>
      <c r="C3" s="6">
        <v>999</v>
      </c>
      <c r="D3" s="7">
        <v>0.47</v>
      </c>
      <c r="E3" s="7" t="str">
        <f t="shared" ref="E3:E66" si="1">IF(D3&gt;40%,"High",IF(D3&gt;20%,"Medium","Low"))</f>
        <v>High</v>
      </c>
      <c r="F3" s="6">
        <f t="shared" si="0"/>
        <v>472</v>
      </c>
      <c r="G3" s="2">
        <v>-14</v>
      </c>
      <c r="H3" s="2">
        <f t="shared" ref="H3:H66" si="2">ABS(G3)</f>
        <v>14</v>
      </c>
      <c r="I3" s="2">
        <v>4.0999999999999996</v>
      </c>
      <c r="J3" s="2" t="str">
        <f t="shared" ref="J3:J66" si="3">IF(I3&gt;=4.5,"Excellent",IF(I3&gt;=3,"Average","poor"))</f>
        <v>Average</v>
      </c>
    </row>
    <row r="4" spans="1:10" x14ac:dyDescent="0.3">
      <c r="A4" s="2" t="s">
        <v>5</v>
      </c>
      <c r="B4" s="6">
        <v>2199</v>
      </c>
      <c r="C4" s="6">
        <v>2923</v>
      </c>
      <c r="D4" s="7">
        <v>0.25</v>
      </c>
      <c r="E4" s="7" t="str">
        <f t="shared" si="1"/>
        <v>Medium</v>
      </c>
      <c r="F4" s="6">
        <f t="shared" si="0"/>
        <v>724</v>
      </c>
      <c r="G4" s="2">
        <v>-24</v>
      </c>
      <c r="H4" s="2">
        <f t="shared" si="2"/>
        <v>24</v>
      </c>
      <c r="I4" s="2">
        <v>4.5999999999999996</v>
      </c>
      <c r="J4" s="2" t="str">
        <f t="shared" si="3"/>
        <v>Excellent</v>
      </c>
    </row>
    <row r="5" spans="1:10" x14ac:dyDescent="0.3">
      <c r="A5" s="2" t="s">
        <v>6</v>
      </c>
      <c r="B5" s="6">
        <v>1580</v>
      </c>
      <c r="C5" s="6">
        <v>2499</v>
      </c>
      <c r="D5" s="7">
        <v>0.37</v>
      </c>
      <c r="E5" s="7" t="str">
        <f t="shared" si="1"/>
        <v>Medium</v>
      </c>
      <c r="F5" s="6">
        <f t="shared" si="0"/>
        <v>919</v>
      </c>
      <c r="G5" s="2">
        <v>-7</v>
      </c>
      <c r="H5" s="2">
        <f t="shared" si="2"/>
        <v>7</v>
      </c>
      <c r="I5" s="2">
        <v>4.7</v>
      </c>
      <c r="J5" s="2" t="str">
        <f t="shared" si="3"/>
        <v>Excellent</v>
      </c>
    </row>
    <row r="6" spans="1:10" x14ac:dyDescent="0.3">
      <c r="A6" s="2" t="s">
        <v>7</v>
      </c>
      <c r="B6" s="6">
        <v>1740</v>
      </c>
      <c r="C6" s="6">
        <v>2356</v>
      </c>
      <c r="D6" s="7">
        <v>0.26</v>
      </c>
      <c r="E6" s="7" t="str">
        <f t="shared" si="1"/>
        <v>Medium</v>
      </c>
      <c r="F6" s="6">
        <f t="shared" si="0"/>
        <v>616</v>
      </c>
      <c r="G6" s="2">
        <v>-5</v>
      </c>
      <c r="H6" s="2">
        <f t="shared" si="2"/>
        <v>5</v>
      </c>
      <c r="I6" s="2">
        <v>4.8</v>
      </c>
      <c r="J6" s="2" t="str">
        <f t="shared" si="3"/>
        <v>Excellent</v>
      </c>
    </row>
    <row r="7" spans="1:10" x14ac:dyDescent="0.3">
      <c r="A7" s="2" t="s">
        <v>8</v>
      </c>
      <c r="B7" s="6">
        <v>2999</v>
      </c>
      <c r="C7" s="6">
        <v>3290</v>
      </c>
      <c r="D7" s="7">
        <v>0.09</v>
      </c>
      <c r="E7" s="7" t="str">
        <f t="shared" si="1"/>
        <v>Low</v>
      </c>
      <c r="F7" s="6">
        <f t="shared" si="0"/>
        <v>291</v>
      </c>
      <c r="G7" s="2">
        <v>-15</v>
      </c>
      <c r="H7" s="2">
        <f t="shared" si="2"/>
        <v>15</v>
      </c>
      <c r="I7" s="2">
        <v>4</v>
      </c>
      <c r="J7" s="2" t="str">
        <f t="shared" si="3"/>
        <v>Average</v>
      </c>
    </row>
    <row r="8" spans="1:10" x14ac:dyDescent="0.3">
      <c r="A8" s="2" t="s">
        <v>9</v>
      </c>
      <c r="B8" s="6">
        <v>2319</v>
      </c>
      <c r="C8" s="6">
        <v>3032</v>
      </c>
      <c r="D8" s="7">
        <v>0.24</v>
      </c>
      <c r="E8" s="7" t="str">
        <f t="shared" si="1"/>
        <v>Medium</v>
      </c>
      <c r="F8" s="6">
        <f t="shared" si="0"/>
        <v>713</v>
      </c>
      <c r="G8" s="2">
        <v>-55</v>
      </c>
      <c r="H8" s="2">
        <f t="shared" si="2"/>
        <v>55</v>
      </c>
      <c r="I8" s="2">
        <v>4.5999999999999996</v>
      </c>
      <c r="J8" s="2" t="str">
        <f t="shared" si="3"/>
        <v>Excellent</v>
      </c>
    </row>
    <row r="9" spans="1:10" x14ac:dyDescent="0.3">
      <c r="A9" s="2" t="s">
        <v>10</v>
      </c>
      <c r="B9" s="6">
        <v>988</v>
      </c>
      <c r="C9" s="6">
        <v>1580</v>
      </c>
      <c r="D9" s="7">
        <v>0.37</v>
      </c>
      <c r="E9" s="7" t="str">
        <f t="shared" si="1"/>
        <v>Medium</v>
      </c>
      <c r="F9" s="6">
        <f t="shared" si="0"/>
        <v>592</v>
      </c>
      <c r="G9" s="2">
        <v>-2</v>
      </c>
      <c r="H9" s="2">
        <f t="shared" si="2"/>
        <v>2</v>
      </c>
      <c r="I9" s="2">
        <v>4</v>
      </c>
      <c r="J9" s="2" t="str">
        <f t="shared" si="3"/>
        <v>Average</v>
      </c>
    </row>
    <row r="10" spans="1:10" x14ac:dyDescent="0.3">
      <c r="A10" s="2" t="s">
        <v>11</v>
      </c>
      <c r="B10" s="6">
        <v>1274</v>
      </c>
      <c r="C10" s="6">
        <v>2800</v>
      </c>
      <c r="D10" s="7">
        <v>0.55000000000000004</v>
      </c>
      <c r="E10" s="7" t="str">
        <f t="shared" si="1"/>
        <v>High</v>
      </c>
      <c r="F10" s="6">
        <f t="shared" si="0"/>
        <v>1526</v>
      </c>
      <c r="G10" s="2">
        <v>-5</v>
      </c>
      <c r="H10" s="2">
        <f t="shared" si="2"/>
        <v>5</v>
      </c>
      <c r="I10" s="2">
        <v>4.8</v>
      </c>
      <c r="J10" s="2" t="str">
        <f t="shared" si="3"/>
        <v>Excellent</v>
      </c>
    </row>
    <row r="11" spans="1:10" x14ac:dyDescent="0.3">
      <c r="A11" s="2" t="s">
        <v>12</v>
      </c>
      <c r="B11" s="6">
        <v>1600</v>
      </c>
      <c r="C11" s="6">
        <v>2929</v>
      </c>
      <c r="D11" s="7">
        <v>0.45</v>
      </c>
      <c r="E11" s="7" t="str">
        <f t="shared" si="1"/>
        <v>High</v>
      </c>
      <c r="F11" s="6">
        <f t="shared" si="0"/>
        <v>1329</v>
      </c>
      <c r="G11" s="2">
        <v>-5</v>
      </c>
      <c r="H11" s="2">
        <f t="shared" si="2"/>
        <v>5</v>
      </c>
      <c r="I11" s="2">
        <v>3.8</v>
      </c>
      <c r="J11" s="2" t="str">
        <f t="shared" si="3"/>
        <v>Average</v>
      </c>
    </row>
    <row r="12" spans="1:10" x14ac:dyDescent="0.3">
      <c r="A12" s="2" t="s">
        <v>13</v>
      </c>
      <c r="B12" s="6">
        <v>799</v>
      </c>
      <c r="C12" s="6">
        <v>999</v>
      </c>
      <c r="D12" s="7">
        <v>0.2</v>
      </c>
      <c r="E12" s="7" t="str">
        <f t="shared" si="1"/>
        <v>Low</v>
      </c>
      <c r="F12" s="6">
        <f t="shared" si="0"/>
        <v>200</v>
      </c>
      <c r="G12" s="2">
        <v>-12</v>
      </c>
      <c r="H12" s="2">
        <f t="shared" si="2"/>
        <v>12</v>
      </c>
      <c r="I12" s="2">
        <v>4.0999999999999996</v>
      </c>
      <c r="J12" s="2" t="str">
        <f t="shared" si="3"/>
        <v>Average</v>
      </c>
    </row>
    <row r="13" spans="1:10" x14ac:dyDescent="0.3">
      <c r="A13" s="2" t="s">
        <v>14</v>
      </c>
      <c r="B13" s="6">
        <v>990</v>
      </c>
      <c r="C13" s="6">
        <v>1500</v>
      </c>
      <c r="D13" s="7">
        <v>0.34</v>
      </c>
      <c r="E13" s="7" t="str">
        <f t="shared" si="1"/>
        <v>Medium</v>
      </c>
      <c r="F13" s="6">
        <f t="shared" si="0"/>
        <v>510</v>
      </c>
      <c r="G13" s="2">
        <v>-39</v>
      </c>
      <c r="H13" s="2">
        <f t="shared" si="2"/>
        <v>39</v>
      </c>
      <c r="I13" s="2">
        <v>4.7</v>
      </c>
      <c r="J13" s="2" t="str">
        <f t="shared" si="3"/>
        <v>Excellent</v>
      </c>
    </row>
    <row r="14" spans="1:10" x14ac:dyDescent="0.3">
      <c r="A14" s="2" t="s">
        <v>15</v>
      </c>
      <c r="B14" s="6">
        <v>552</v>
      </c>
      <c r="C14" s="6">
        <v>1035</v>
      </c>
      <c r="D14" s="7">
        <v>0.47</v>
      </c>
      <c r="E14" s="7" t="str">
        <f t="shared" si="1"/>
        <v>High</v>
      </c>
      <c r="F14" s="6">
        <f t="shared" si="0"/>
        <v>483</v>
      </c>
      <c r="G14" s="2">
        <v>-12</v>
      </c>
      <c r="H14" s="2">
        <f t="shared" si="2"/>
        <v>12</v>
      </c>
      <c r="I14" s="2">
        <v>4.8</v>
      </c>
      <c r="J14" s="2" t="str">
        <f t="shared" si="3"/>
        <v>Excellent</v>
      </c>
    </row>
    <row r="15" spans="1:10" x14ac:dyDescent="0.3">
      <c r="A15" s="2" t="s">
        <v>16</v>
      </c>
      <c r="B15" s="6">
        <v>501</v>
      </c>
      <c r="C15" s="6">
        <v>860</v>
      </c>
      <c r="D15" s="7">
        <v>0.42</v>
      </c>
      <c r="E15" s="7" t="str">
        <f t="shared" si="1"/>
        <v>High</v>
      </c>
      <c r="F15" s="6">
        <f t="shared" si="0"/>
        <v>359</v>
      </c>
      <c r="G15" s="2">
        <v>-6</v>
      </c>
      <c r="H15" s="2">
        <f t="shared" si="2"/>
        <v>6</v>
      </c>
      <c r="I15" s="2">
        <v>4.5</v>
      </c>
      <c r="J15" s="2" t="str">
        <f t="shared" si="3"/>
        <v>Excellent</v>
      </c>
    </row>
    <row r="16" spans="1:10" x14ac:dyDescent="0.3">
      <c r="A16" s="2" t="s">
        <v>17</v>
      </c>
      <c r="B16" s="6">
        <v>1680</v>
      </c>
      <c r="C16" s="6">
        <v>2499</v>
      </c>
      <c r="D16" s="7">
        <v>0.33</v>
      </c>
      <c r="E16" s="7" t="str">
        <f t="shared" si="1"/>
        <v>Medium</v>
      </c>
      <c r="F16" s="6">
        <f t="shared" si="0"/>
        <v>819</v>
      </c>
      <c r="G16" s="2">
        <v>-9</v>
      </c>
      <c r="H16" s="2">
        <f t="shared" si="2"/>
        <v>9</v>
      </c>
      <c r="I16" s="2">
        <v>4.2</v>
      </c>
      <c r="J16" s="2" t="str">
        <f t="shared" si="3"/>
        <v>Average</v>
      </c>
    </row>
    <row r="17" spans="1:10" x14ac:dyDescent="0.3">
      <c r="A17" s="2" t="s">
        <v>18</v>
      </c>
      <c r="B17" s="6">
        <v>332</v>
      </c>
      <c r="C17" s="6">
        <v>684</v>
      </c>
      <c r="D17" s="7">
        <v>0.51</v>
      </c>
      <c r="E17" s="7" t="str">
        <f t="shared" si="1"/>
        <v>High</v>
      </c>
      <c r="F17" s="6">
        <f t="shared" si="0"/>
        <v>352</v>
      </c>
      <c r="G17" s="2">
        <v>-2</v>
      </c>
      <c r="H17" s="2">
        <f t="shared" si="2"/>
        <v>2</v>
      </c>
      <c r="I17" s="2">
        <v>5</v>
      </c>
      <c r="J17" s="2" t="str">
        <f t="shared" si="3"/>
        <v>Excellent</v>
      </c>
    </row>
    <row r="18" spans="1:10" x14ac:dyDescent="0.3">
      <c r="A18" s="2" t="s">
        <v>19</v>
      </c>
      <c r="B18" s="6">
        <v>195</v>
      </c>
      <c r="C18" s="6">
        <v>360</v>
      </c>
      <c r="D18" s="7">
        <v>0.46</v>
      </c>
      <c r="E18" s="7" t="str">
        <f t="shared" si="1"/>
        <v>High</v>
      </c>
      <c r="F18" s="6">
        <f t="shared" si="0"/>
        <v>165</v>
      </c>
      <c r="G18" s="2">
        <v>-2</v>
      </c>
      <c r="H18" s="2">
        <f t="shared" si="2"/>
        <v>2</v>
      </c>
      <c r="I18" s="2">
        <v>5</v>
      </c>
      <c r="J18" s="2" t="str">
        <f t="shared" si="3"/>
        <v>Excellent</v>
      </c>
    </row>
    <row r="19" spans="1:10" x14ac:dyDescent="0.3">
      <c r="A19" s="2" t="s">
        <v>20</v>
      </c>
      <c r="B19" s="6">
        <v>2025</v>
      </c>
      <c r="C19" s="6">
        <v>3971</v>
      </c>
      <c r="D19" s="7">
        <v>0.49</v>
      </c>
      <c r="E19" s="7" t="str">
        <f t="shared" si="1"/>
        <v>High</v>
      </c>
      <c r="F19" s="6">
        <f t="shared" si="0"/>
        <v>1946</v>
      </c>
      <c r="G19" s="2">
        <v>-3</v>
      </c>
      <c r="H19" s="2">
        <f t="shared" si="2"/>
        <v>3</v>
      </c>
      <c r="I19" s="2">
        <v>5</v>
      </c>
      <c r="J19" s="2" t="str">
        <f t="shared" si="3"/>
        <v>Excellent</v>
      </c>
    </row>
    <row r="20" spans="1:10" x14ac:dyDescent="0.3">
      <c r="A20" s="2" t="s">
        <v>21</v>
      </c>
      <c r="B20" s="6">
        <v>2999</v>
      </c>
      <c r="C20" s="6">
        <v>3699</v>
      </c>
      <c r="D20" s="7">
        <v>0.19</v>
      </c>
      <c r="E20" s="7" t="str">
        <f t="shared" si="1"/>
        <v>Low</v>
      </c>
      <c r="F20" s="6">
        <f t="shared" si="0"/>
        <v>700</v>
      </c>
      <c r="G20" s="2">
        <v>-5</v>
      </c>
      <c r="H20" s="2">
        <f t="shared" si="2"/>
        <v>5</v>
      </c>
      <c r="I20" s="2">
        <v>4.5999999999999996</v>
      </c>
      <c r="J20" s="2" t="str">
        <f t="shared" si="3"/>
        <v>Excellent</v>
      </c>
    </row>
    <row r="21" spans="1:10" x14ac:dyDescent="0.3">
      <c r="A21" s="2" t="s">
        <v>22</v>
      </c>
      <c r="B21" s="6">
        <v>998</v>
      </c>
      <c r="C21" s="6">
        <v>1966</v>
      </c>
      <c r="D21" s="7">
        <v>0.49</v>
      </c>
      <c r="E21" s="7" t="str">
        <f t="shared" si="1"/>
        <v>High</v>
      </c>
      <c r="F21" s="6">
        <f t="shared" si="0"/>
        <v>968</v>
      </c>
      <c r="G21" s="2">
        <v>-44</v>
      </c>
      <c r="H21" s="2">
        <f t="shared" si="2"/>
        <v>44</v>
      </c>
      <c r="I21" s="2">
        <v>4.5999999999999996</v>
      </c>
      <c r="J21" s="2" t="str">
        <f t="shared" si="3"/>
        <v>Excellent</v>
      </c>
    </row>
    <row r="22" spans="1:10" x14ac:dyDescent="0.3">
      <c r="A22" s="2" t="s">
        <v>23</v>
      </c>
      <c r="B22" s="6">
        <v>38</v>
      </c>
      <c r="C22" s="6">
        <v>80</v>
      </c>
      <c r="D22" s="7">
        <v>0.53</v>
      </c>
      <c r="E22" s="7" t="str">
        <f t="shared" si="1"/>
        <v>High</v>
      </c>
      <c r="F22" s="6">
        <f t="shared" si="0"/>
        <v>42</v>
      </c>
      <c r="G22" s="2">
        <v>-13</v>
      </c>
      <c r="H22" s="2">
        <f t="shared" si="2"/>
        <v>13</v>
      </c>
      <c r="I22" s="2">
        <v>3.3</v>
      </c>
      <c r="J22" s="2" t="str">
        <f t="shared" si="3"/>
        <v>Average</v>
      </c>
    </row>
    <row r="23" spans="1:10" x14ac:dyDescent="0.3">
      <c r="A23" s="2" t="s">
        <v>24</v>
      </c>
      <c r="B23" s="6">
        <v>1860</v>
      </c>
      <c r="C23" s="6">
        <v>3220</v>
      </c>
      <c r="D23" s="7">
        <v>0.42</v>
      </c>
      <c r="E23" s="7" t="str">
        <f t="shared" si="1"/>
        <v>High</v>
      </c>
      <c r="F23" s="6">
        <f t="shared" si="0"/>
        <v>1360</v>
      </c>
      <c r="G23" s="2">
        <v>0</v>
      </c>
      <c r="H23" s="2">
        <f t="shared" si="2"/>
        <v>0</v>
      </c>
      <c r="I23" s="2">
        <v>3.8</v>
      </c>
      <c r="J23" s="2" t="str">
        <f t="shared" si="3"/>
        <v>Average</v>
      </c>
    </row>
    <row r="24" spans="1:10" x14ac:dyDescent="0.3">
      <c r="A24" s="2" t="s">
        <v>25</v>
      </c>
      <c r="B24" s="6">
        <v>880</v>
      </c>
      <c r="C24" s="6">
        <v>1350</v>
      </c>
      <c r="D24" s="7">
        <v>0.35</v>
      </c>
      <c r="E24" s="7" t="str">
        <f t="shared" si="1"/>
        <v>Medium</v>
      </c>
      <c r="F24" s="6">
        <f t="shared" si="0"/>
        <v>470</v>
      </c>
      <c r="G24" s="2">
        <v>-6</v>
      </c>
      <c r="H24" s="2">
        <f t="shared" si="2"/>
        <v>6</v>
      </c>
      <c r="I24" s="2">
        <v>4</v>
      </c>
      <c r="J24" s="2" t="str">
        <f t="shared" si="3"/>
        <v>Average</v>
      </c>
    </row>
    <row r="25" spans="1:10" x14ac:dyDescent="0.3">
      <c r="A25" s="2" t="s">
        <v>26</v>
      </c>
      <c r="B25" s="6">
        <v>1650</v>
      </c>
      <c r="C25" s="6">
        <v>2150</v>
      </c>
      <c r="D25" s="7">
        <v>0.23</v>
      </c>
      <c r="E25" s="7" t="str">
        <f t="shared" si="1"/>
        <v>Medium</v>
      </c>
      <c r="F25" s="6">
        <f t="shared" si="0"/>
        <v>500</v>
      </c>
      <c r="G25" s="2">
        <v>-14</v>
      </c>
      <c r="H25" s="2">
        <f t="shared" si="2"/>
        <v>14</v>
      </c>
      <c r="I25" s="2">
        <v>4.4000000000000004</v>
      </c>
      <c r="J25" s="2" t="str">
        <f t="shared" si="3"/>
        <v>Average</v>
      </c>
    </row>
    <row r="26" spans="1:10" x14ac:dyDescent="0.3">
      <c r="A26" s="2" t="s">
        <v>27</v>
      </c>
      <c r="B26" s="6">
        <v>2048</v>
      </c>
      <c r="C26" s="6">
        <v>4500</v>
      </c>
      <c r="D26" s="7">
        <v>0.54</v>
      </c>
      <c r="E26" s="7" t="str">
        <f t="shared" si="1"/>
        <v>High</v>
      </c>
      <c r="F26" s="6">
        <f t="shared" si="0"/>
        <v>2452</v>
      </c>
      <c r="G26" s="2">
        <v>-7</v>
      </c>
      <c r="H26" s="2">
        <f t="shared" si="2"/>
        <v>7</v>
      </c>
      <c r="I26" s="2">
        <v>4.3</v>
      </c>
      <c r="J26" s="2" t="str">
        <f t="shared" si="3"/>
        <v>Average</v>
      </c>
    </row>
    <row r="27" spans="1:10" x14ac:dyDescent="0.3">
      <c r="A27" s="2" t="s">
        <v>28</v>
      </c>
      <c r="B27" s="6">
        <v>420</v>
      </c>
      <c r="C27" s="6">
        <v>647</v>
      </c>
      <c r="D27" s="7">
        <v>0.35</v>
      </c>
      <c r="E27" s="7" t="str">
        <f t="shared" si="1"/>
        <v>Medium</v>
      </c>
      <c r="F27" s="6">
        <f t="shared" si="0"/>
        <v>227</v>
      </c>
      <c r="G27" s="2">
        <v>-49</v>
      </c>
      <c r="H27" s="2">
        <f t="shared" si="2"/>
        <v>49</v>
      </c>
      <c r="I27" s="2">
        <v>4.5999999999999996</v>
      </c>
      <c r="J27" s="2" t="str">
        <f t="shared" si="3"/>
        <v>Excellent</v>
      </c>
    </row>
    <row r="28" spans="1:10" x14ac:dyDescent="0.3">
      <c r="A28" s="2" t="s">
        <v>29</v>
      </c>
      <c r="B28" s="6">
        <v>2880</v>
      </c>
      <c r="C28" s="6">
        <v>3520</v>
      </c>
      <c r="D28" s="7">
        <v>0.18</v>
      </c>
      <c r="E28" s="7" t="str">
        <f t="shared" si="1"/>
        <v>Low</v>
      </c>
      <c r="F28" s="6">
        <f t="shared" si="0"/>
        <v>640</v>
      </c>
      <c r="G28" s="2">
        <v>-12</v>
      </c>
      <c r="H28" s="2">
        <f t="shared" si="2"/>
        <v>12</v>
      </c>
      <c r="I28" s="2">
        <v>3.8</v>
      </c>
      <c r="J28" s="2" t="str">
        <f t="shared" si="3"/>
        <v>Average</v>
      </c>
    </row>
    <row r="29" spans="1:10" x14ac:dyDescent="0.3">
      <c r="A29" s="2" t="s">
        <v>30</v>
      </c>
      <c r="B29" s="6">
        <v>1350</v>
      </c>
      <c r="C29" s="6">
        <v>1990</v>
      </c>
      <c r="D29" s="7">
        <v>0.32</v>
      </c>
      <c r="E29" s="7" t="str">
        <f t="shared" si="1"/>
        <v>Medium</v>
      </c>
      <c r="F29" s="6">
        <f t="shared" si="0"/>
        <v>640</v>
      </c>
      <c r="G29" s="2">
        <v>-13</v>
      </c>
      <c r="H29" s="2">
        <f t="shared" si="2"/>
        <v>13</v>
      </c>
      <c r="I29" s="2">
        <v>3.8</v>
      </c>
      <c r="J29" s="2" t="str">
        <f t="shared" si="3"/>
        <v>Average</v>
      </c>
    </row>
    <row r="30" spans="1:10" x14ac:dyDescent="0.3">
      <c r="A30" s="2" t="s">
        <v>31</v>
      </c>
      <c r="B30" s="6">
        <v>1758</v>
      </c>
      <c r="C30" s="6">
        <v>2499</v>
      </c>
      <c r="D30" s="7">
        <v>0.3</v>
      </c>
      <c r="E30" s="7" t="str">
        <f t="shared" si="1"/>
        <v>Medium</v>
      </c>
      <c r="F30" s="6">
        <f t="shared" si="0"/>
        <v>741</v>
      </c>
      <c r="G30" s="2">
        <v>-20</v>
      </c>
      <c r="H30" s="2">
        <f t="shared" si="2"/>
        <v>20</v>
      </c>
      <c r="I30" s="2">
        <v>4.0999999999999996</v>
      </c>
      <c r="J30" s="2" t="str">
        <f t="shared" si="3"/>
        <v>Average</v>
      </c>
    </row>
    <row r="31" spans="1:10" x14ac:dyDescent="0.3">
      <c r="A31" s="2" t="s">
        <v>111</v>
      </c>
      <c r="B31" s="6">
        <v>2200</v>
      </c>
      <c r="C31" s="6">
        <v>4080</v>
      </c>
      <c r="D31" s="7">
        <v>0.46</v>
      </c>
      <c r="E31" s="7" t="str">
        <f t="shared" si="1"/>
        <v>High</v>
      </c>
      <c r="F31" s="6">
        <f t="shared" si="0"/>
        <v>1880</v>
      </c>
      <c r="G31" s="2">
        <v>0</v>
      </c>
      <c r="H31" s="2">
        <f t="shared" si="2"/>
        <v>0</v>
      </c>
      <c r="I31" s="2">
        <v>3.8</v>
      </c>
      <c r="J31" s="2" t="str">
        <f t="shared" si="3"/>
        <v>Average</v>
      </c>
    </row>
    <row r="32" spans="1:10" x14ac:dyDescent="0.3">
      <c r="A32" s="2" t="s">
        <v>32</v>
      </c>
      <c r="B32" s="6">
        <v>185</v>
      </c>
      <c r="C32" s="6">
        <v>382</v>
      </c>
      <c r="D32" s="7">
        <v>0.52</v>
      </c>
      <c r="E32" s="7" t="str">
        <f t="shared" si="1"/>
        <v>High</v>
      </c>
      <c r="F32" s="6">
        <f t="shared" si="0"/>
        <v>197</v>
      </c>
      <c r="G32" s="2">
        <v>-9</v>
      </c>
      <c r="H32" s="2">
        <f t="shared" si="2"/>
        <v>9</v>
      </c>
      <c r="I32" s="2">
        <v>4.3</v>
      </c>
      <c r="J32" s="2" t="str">
        <f t="shared" si="3"/>
        <v>Average</v>
      </c>
    </row>
    <row r="33" spans="1:10" x14ac:dyDescent="0.3">
      <c r="A33" s="2" t="s">
        <v>33</v>
      </c>
      <c r="B33" s="6">
        <v>980</v>
      </c>
      <c r="C33" s="6">
        <v>1490</v>
      </c>
      <c r="D33" s="7">
        <v>0.34</v>
      </c>
      <c r="E33" s="7" t="str">
        <f t="shared" si="1"/>
        <v>Medium</v>
      </c>
      <c r="F33" s="6">
        <f t="shared" si="0"/>
        <v>510</v>
      </c>
      <c r="G33" s="2">
        <v>-12</v>
      </c>
      <c r="H33" s="2">
        <f t="shared" si="2"/>
        <v>12</v>
      </c>
      <c r="I33" s="2">
        <v>4.7</v>
      </c>
      <c r="J33" s="2" t="str">
        <f t="shared" si="3"/>
        <v>Excellent</v>
      </c>
    </row>
    <row r="34" spans="1:10" x14ac:dyDescent="0.3">
      <c r="A34" s="2" t="s">
        <v>34</v>
      </c>
      <c r="B34" s="6">
        <v>1820</v>
      </c>
      <c r="C34" s="6">
        <v>3490</v>
      </c>
      <c r="D34" s="7">
        <v>0.48</v>
      </c>
      <c r="E34" s="7" t="str">
        <f t="shared" si="1"/>
        <v>High</v>
      </c>
      <c r="F34" s="6">
        <f t="shared" ref="F34:F65" si="4">C34-B34</f>
        <v>1670</v>
      </c>
      <c r="G34" s="2">
        <v>-9</v>
      </c>
      <c r="H34" s="2">
        <f t="shared" si="2"/>
        <v>9</v>
      </c>
      <c r="I34" s="2">
        <v>4.3</v>
      </c>
      <c r="J34" s="2" t="str">
        <f t="shared" si="3"/>
        <v>Average</v>
      </c>
    </row>
    <row r="35" spans="1:10" x14ac:dyDescent="0.3">
      <c r="A35" s="2" t="s">
        <v>35</v>
      </c>
      <c r="B35" s="6">
        <v>1940</v>
      </c>
      <c r="C35" s="6">
        <v>2650</v>
      </c>
      <c r="D35" s="7">
        <v>0.27</v>
      </c>
      <c r="E35" s="7" t="str">
        <f t="shared" si="1"/>
        <v>Medium</v>
      </c>
      <c r="F35" s="6">
        <f t="shared" si="4"/>
        <v>710</v>
      </c>
      <c r="G35" s="2">
        <v>-20</v>
      </c>
      <c r="H35" s="2">
        <f t="shared" si="2"/>
        <v>20</v>
      </c>
      <c r="I35" s="2">
        <v>4.7</v>
      </c>
      <c r="J35" s="2" t="str">
        <f t="shared" si="3"/>
        <v>Excellent</v>
      </c>
    </row>
    <row r="36" spans="1:10" x14ac:dyDescent="0.3">
      <c r="A36" s="2" t="s">
        <v>36</v>
      </c>
      <c r="B36" s="6">
        <v>1980</v>
      </c>
      <c r="C36" s="6">
        <v>2699</v>
      </c>
      <c r="D36" s="7">
        <v>0.27</v>
      </c>
      <c r="E36" s="7" t="str">
        <f t="shared" si="1"/>
        <v>Medium</v>
      </c>
      <c r="F36" s="6">
        <f t="shared" si="4"/>
        <v>719</v>
      </c>
      <c r="G36" s="2">
        <v>-32</v>
      </c>
      <c r="H36" s="2">
        <f t="shared" si="2"/>
        <v>32</v>
      </c>
      <c r="I36" s="2">
        <v>4.5</v>
      </c>
      <c r="J36" s="2" t="str">
        <f t="shared" si="3"/>
        <v>Excellent</v>
      </c>
    </row>
    <row r="37" spans="1:10" x14ac:dyDescent="0.3">
      <c r="A37" s="2" t="s">
        <v>37</v>
      </c>
      <c r="B37" s="6">
        <v>1620</v>
      </c>
      <c r="C37" s="6">
        <v>2690</v>
      </c>
      <c r="D37" s="7">
        <v>0.4</v>
      </c>
      <c r="E37" s="7" t="str">
        <f t="shared" si="1"/>
        <v>Medium</v>
      </c>
      <c r="F37" s="6">
        <f t="shared" si="4"/>
        <v>1070</v>
      </c>
      <c r="G37" s="2">
        <v>-1</v>
      </c>
      <c r="H37" s="2">
        <f t="shared" si="2"/>
        <v>1</v>
      </c>
      <c r="I37" s="2">
        <v>5</v>
      </c>
      <c r="J37" s="2" t="str">
        <f t="shared" si="3"/>
        <v>Excellent</v>
      </c>
    </row>
    <row r="38" spans="1:10" x14ac:dyDescent="0.3">
      <c r="A38" s="2" t="s">
        <v>38</v>
      </c>
      <c r="B38" s="6">
        <v>171</v>
      </c>
      <c r="C38" s="6">
        <v>360</v>
      </c>
      <c r="D38" s="7">
        <v>0.53</v>
      </c>
      <c r="E38" s="7" t="str">
        <f t="shared" si="1"/>
        <v>High</v>
      </c>
      <c r="F38" s="6">
        <f t="shared" si="4"/>
        <v>189</v>
      </c>
      <c r="G38" s="2">
        <v>-2</v>
      </c>
      <c r="H38" s="2">
        <f t="shared" si="2"/>
        <v>2</v>
      </c>
      <c r="I38" s="2">
        <v>5</v>
      </c>
      <c r="J38" s="2" t="str">
        <f t="shared" si="3"/>
        <v>Excellent</v>
      </c>
    </row>
    <row r="39" spans="1:10" x14ac:dyDescent="0.3">
      <c r="A39" s="2" t="s">
        <v>39</v>
      </c>
      <c r="B39" s="6">
        <v>389</v>
      </c>
      <c r="C39" s="6">
        <v>656</v>
      </c>
      <c r="D39" s="7">
        <v>0.41</v>
      </c>
      <c r="E39" s="7" t="str">
        <f t="shared" si="1"/>
        <v>High</v>
      </c>
      <c r="F39" s="6">
        <f t="shared" si="4"/>
        <v>267</v>
      </c>
      <c r="G39" s="2">
        <v>-36</v>
      </c>
      <c r="H39" s="2">
        <f t="shared" si="2"/>
        <v>36</v>
      </c>
      <c r="I39" s="2">
        <v>4.3</v>
      </c>
      <c r="J39" s="2" t="str">
        <f t="shared" si="3"/>
        <v>Average</v>
      </c>
    </row>
    <row r="40" spans="1:10" x14ac:dyDescent="0.3">
      <c r="A40" s="2" t="s">
        <v>40</v>
      </c>
      <c r="B40" s="6">
        <v>1800</v>
      </c>
      <c r="C40" s="6">
        <v>2700</v>
      </c>
      <c r="D40" s="7">
        <v>0.38</v>
      </c>
      <c r="E40" s="7" t="str">
        <f t="shared" si="1"/>
        <v>Medium</v>
      </c>
      <c r="F40" s="6">
        <f t="shared" si="4"/>
        <v>900</v>
      </c>
      <c r="G40" s="2">
        <v>-2</v>
      </c>
      <c r="H40" s="2">
        <f t="shared" si="2"/>
        <v>2</v>
      </c>
      <c r="I40" s="2">
        <v>4.5</v>
      </c>
      <c r="J40" s="2" t="str">
        <f t="shared" si="3"/>
        <v>Excellent</v>
      </c>
    </row>
    <row r="41" spans="1:10" x14ac:dyDescent="0.3">
      <c r="A41" s="2" t="s">
        <v>41</v>
      </c>
      <c r="B41" s="6">
        <v>2750</v>
      </c>
      <c r="C41" s="6">
        <v>4471</v>
      </c>
      <c r="D41" s="7">
        <v>0.38</v>
      </c>
      <c r="E41" s="7" t="str">
        <f t="shared" si="1"/>
        <v>Medium</v>
      </c>
      <c r="F41" s="6">
        <f t="shared" si="4"/>
        <v>1721</v>
      </c>
      <c r="G41" s="2">
        <v>0</v>
      </c>
      <c r="H41" s="2">
        <f t="shared" si="2"/>
        <v>0</v>
      </c>
      <c r="I41" s="2">
        <v>3.8</v>
      </c>
      <c r="J41" s="2" t="str">
        <f t="shared" si="3"/>
        <v>Average</v>
      </c>
    </row>
    <row r="42" spans="1:10" x14ac:dyDescent="0.3">
      <c r="A42" s="2" t="s">
        <v>42</v>
      </c>
      <c r="B42" s="6">
        <v>475</v>
      </c>
      <c r="C42" s="6">
        <v>931</v>
      </c>
      <c r="D42" s="7">
        <v>0.49</v>
      </c>
      <c r="E42" s="7" t="str">
        <f t="shared" si="1"/>
        <v>High</v>
      </c>
      <c r="F42" s="6">
        <f t="shared" si="4"/>
        <v>456</v>
      </c>
      <c r="G42" s="2">
        <v>0</v>
      </c>
      <c r="H42" s="2">
        <f t="shared" si="2"/>
        <v>0</v>
      </c>
      <c r="I42" s="2">
        <v>3.8</v>
      </c>
      <c r="J42" s="2" t="str">
        <f t="shared" si="3"/>
        <v>Average</v>
      </c>
    </row>
    <row r="43" spans="1:10" x14ac:dyDescent="0.3">
      <c r="A43" s="2" t="s">
        <v>43</v>
      </c>
      <c r="B43" s="6">
        <v>238</v>
      </c>
      <c r="C43" s="6">
        <v>476</v>
      </c>
      <c r="D43" s="7">
        <v>0.5</v>
      </c>
      <c r="E43" s="7" t="str">
        <f t="shared" si="1"/>
        <v>High</v>
      </c>
      <c r="F43" s="6">
        <f t="shared" si="4"/>
        <v>238</v>
      </c>
      <c r="G43" s="2">
        <v>0</v>
      </c>
      <c r="H43" s="2">
        <f t="shared" si="2"/>
        <v>0</v>
      </c>
      <c r="I43" s="2">
        <v>3.8</v>
      </c>
      <c r="J43" s="2" t="str">
        <f t="shared" si="3"/>
        <v>Average</v>
      </c>
    </row>
    <row r="44" spans="1:10" x14ac:dyDescent="0.3">
      <c r="A44" s="2" t="s">
        <v>44</v>
      </c>
      <c r="B44" s="6">
        <v>610</v>
      </c>
      <c r="C44" s="6">
        <v>1060</v>
      </c>
      <c r="D44" s="7">
        <v>0.42</v>
      </c>
      <c r="E44" s="7" t="str">
        <f t="shared" si="1"/>
        <v>High</v>
      </c>
      <c r="F44" s="6">
        <f t="shared" si="4"/>
        <v>450</v>
      </c>
      <c r="G44" s="2">
        <v>0</v>
      </c>
      <c r="H44" s="2">
        <f t="shared" si="2"/>
        <v>0</v>
      </c>
      <c r="I44" s="2">
        <v>3.8</v>
      </c>
      <c r="J44" s="2" t="str">
        <f t="shared" si="3"/>
        <v>Average</v>
      </c>
    </row>
    <row r="45" spans="1:10" x14ac:dyDescent="0.3">
      <c r="A45" s="2" t="s">
        <v>44</v>
      </c>
      <c r="B45" s="6">
        <v>610</v>
      </c>
      <c r="C45" s="6">
        <v>1060</v>
      </c>
      <c r="D45" s="7">
        <v>0.42</v>
      </c>
      <c r="E45" s="7" t="str">
        <f t="shared" si="1"/>
        <v>High</v>
      </c>
      <c r="F45" s="6">
        <f t="shared" si="4"/>
        <v>450</v>
      </c>
      <c r="G45" s="2">
        <v>0</v>
      </c>
      <c r="H45" s="2">
        <f t="shared" si="2"/>
        <v>0</v>
      </c>
      <c r="I45" s="2">
        <v>3.8</v>
      </c>
      <c r="J45" s="2" t="str">
        <f t="shared" si="3"/>
        <v>Average</v>
      </c>
    </row>
    <row r="46" spans="1:10" x14ac:dyDescent="0.3">
      <c r="A46" s="2" t="s">
        <v>45</v>
      </c>
      <c r="B46" s="6">
        <v>2132</v>
      </c>
      <c r="C46" s="6">
        <v>2169</v>
      </c>
      <c r="D46" s="7">
        <v>0.02</v>
      </c>
      <c r="E46" s="7" t="str">
        <f t="shared" si="1"/>
        <v>Low</v>
      </c>
      <c r="F46" s="6">
        <f t="shared" si="4"/>
        <v>37</v>
      </c>
      <c r="G46" s="2">
        <v>0</v>
      </c>
      <c r="H46" s="2">
        <f t="shared" si="2"/>
        <v>0</v>
      </c>
      <c r="I46" s="2">
        <v>3.8</v>
      </c>
      <c r="J46" s="2" t="str">
        <f t="shared" si="3"/>
        <v>Average</v>
      </c>
    </row>
    <row r="47" spans="1:10" x14ac:dyDescent="0.3">
      <c r="A47" s="2" t="s">
        <v>46</v>
      </c>
      <c r="B47" s="6">
        <v>999</v>
      </c>
      <c r="C47" s="6">
        <v>2000</v>
      </c>
      <c r="D47" s="7">
        <v>0.5</v>
      </c>
      <c r="E47" s="7" t="str">
        <f t="shared" si="1"/>
        <v>High</v>
      </c>
      <c r="F47" s="6">
        <f t="shared" si="4"/>
        <v>1001</v>
      </c>
      <c r="G47" s="2">
        <v>0</v>
      </c>
      <c r="H47" s="2">
        <f t="shared" si="2"/>
        <v>0</v>
      </c>
      <c r="I47" s="2">
        <v>3.8</v>
      </c>
      <c r="J47" s="2" t="str">
        <f t="shared" si="3"/>
        <v>Average</v>
      </c>
    </row>
    <row r="48" spans="1:10" x14ac:dyDescent="0.3">
      <c r="A48" s="2" t="s">
        <v>47</v>
      </c>
      <c r="B48" s="6">
        <v>1190</v>
      </c>
      <c r="C48" s="6">
        <v>1785</v>
      </c>
      <c r="D48" s="7">
        <v>0.33</v>
      </c>
      <c r="E48" s="7" t="str">
        <f t="shared" si="1"/>
        <v>Medium</v>
      </c>
      <c r="F48" s="6">
        <f t="shared" si="4"/>
        <v>595</v>
      </c>
      <c r="G48" s="2">
        <v>0</v>
      </c>
      <c r="H48" s="2">
        <f t="shared" si="2"/>
        <v>0</v>
      </c>
      <c r="I48" s="2">
        <v>3.8</v>
      </c>
      <c r="J48" s="2" t="str">
        <f t="shared" si="3"/>
        <v>Average</v>
      </c>
    </row>
    <row r="49" spans="1:10" x14ac:dyDescent="0.3">
      <c r="A49" s="2" t="s">
        <v>48</v>
      </c>
      <c r="B49" s="6">
        <v>671</v>
      </c>
      <c r="C49" s="6">
        <v>1316</v>
      </c>
      <c r="D49" s="7">
        <v>0.49</v>
      </c>
      <c r="E49" s="7" t="str">
        <f t="shared" si="1"/>
        <v>High</v>
      </c>
      <c r="F49" s="6">
        <f t="shared" si="4"/>
        <v>645</v>
      </c>
      <c r="G49" s="2">
        <v>0</v>
      </c>
      <c r="H49" s="2">
        <f t="shared" si="2"/>
        <v>0</v>
      </c>
      <c r="I49" s="2">
        <v>3.8</v>
      </c>
      <c r="J49" s="2" t="str">
        <f t="shared" si="3"/>
        <v>Average</v>
      </c>
    </row>
    <row r="50" spans="1:10" x14ac:dyDescent="0.3">
      <c r="A50" s="2" t="s">
        <v>49</v>
      </c>
      <c r="B50" s="6">
        <v>1200</v>
      </c>
      <c r="C50" s="6">
        <v>1950</v>
      </c>
      <c r="D50" s="7">
        <v>0.38</v>
      </c>
      <c r="E50" s="7" t="str">
        <f t="shared" si="1"/>
        <v>Medium</v>
      </c>
      <c r="F50" s="6">
        <f t="shared" si="4"/>
        <v>750</v>
      </c>
      <c r="G50" s="2">
        <v>0</v>
      </c>
      <c r="H50" s="2">
        <f t="shared" si="2"/>
        <v>0</v>
      </c>
      <c r="I50" s="2">
        <v>3.8</v>
      </c>
      <c r="J50" s="2" t="str">
        <f t="shared" si="3"/>
        <v>Average</v>
      </c>
    </row>
    <row r="51" spans="1:10" x14ac:dyDescent="0.3">
      <c r="A51" s="2" t="s">
        <v>50</v>
      </c>
      <c r="B51" s="6">
        <v>199</v>
      </c>
      <c r="C51" s="6">
        <v>504</v>
      </c>
      <c r="D51" s="7">
        <v>0.61</v>
      </c>
      <c r="E51" s="7" t="str">
        <f t="shared" si="1"/>
        <v>High</v>
      </c>
      <c r="F51" s="6">
        <f t="shared" si="4"/>
        <v>305</v>
      </c>
      <c r="G51" s="2">
        <v>0</v>
      </c>
      <c r="H51" s="2">
        <f t="shared" si="2"/>
        <v>0</v>
      </c>
      <c r="I51" s="2">
        <v>3.8</v>
      </c>
      <c r="J51" s="2" t="str">
        <f t="shared" si="3"/>
        <v>Average</v>
      </c>
    </row>
    <row r="52" spans="1:10" x14ac:dyDescent="0.3">
      <c r="A52" s="2" t="s">
        <v>51</v>
      </c>
      <c r="B52" s="6">
        <v>299</v>
      </c>
      <c r="C52" s="6">
        <v>600</v>
      </c>
      <c r="D52" s="7">
        <v>0.5</v>
      </c>
      <c r="E52" s="7" t="str">
        <f t="shared" si="1"/>
        <v>High</v>
      </c>
      <c r="F52" s="6">
        <f t="shared" si="4"/>
        <v>301</v>
      </c>
      <c r="G52" s="2">
        <v>0</v>
      </c>
      <c r="H52" s="2">
        <f t="shared" si="2"/>
        <v>0</v>
      </c>
      <c r="I52" s="2">
        <v>3.8</v>
      </c>
      <c r="J52" s="2" t="str">
        <f t="shared" si="3"/>
        <v>Average</v>
      </c>
    </row>
    <row r="53" spans="1:10" x14ac:dyDescent="0.3">
      <c r="A53" s="2" t="s">
        <v>52</v>
      </c>
      <c r="B53" s="6">
        <v>1660</v>
      </c>
      <c r="C53" s="6">
        <v>1699</v>
      </c>
      <c r="D53" s="7">
        <v>0.02</v>
      </c>
      <c r="E53" s="7" t="str">
        <f t="shared" si="1"/>
        <v>Low</v>
      </c>
      <c r="F53" s="6">
        <f t="shared" si="4"/>
        <v>39</v>
      </c>
      <c r="G53" s="2">
        <v>0</v>
      </c>
      <c r="H53" s="2">
        <f t="shared" si="2"/>
        <v>0</v>
      </c>
      <c r="I53" s="2">
        <v>3.8</v>
      </c>
      <c r="J53" s="2" t="str">
        <f t="shared" si="3"/>
        <v>Average</v>
      </c>
    </row>
    <row r="54" spans="1:10" x14ac:dyDescent="0.3">
      <c r="A54" s="2" t="s">
        <v>53</v>
      </c>
      <c r="B54" s="6">
        <v>299</v>
      </c>
      <c r="C54" s="6">
        <v>384</v>
      </c>
      <c r="D54" s="7">
        <v>0.22</v>
      </c>
      <c r="E54" s="7" t="str">
        <f t="shared" si="1"/>
        <v>Medium</v>
      </c>
      <c r="F54" s="6">
        <f t="shared" si="4"/>
        <v>85</v>
      </c>
      <c r="G54" s="2">
        <v>0</v>
      </c>
      <c r="H54" s="2">
        <f t="shared" si="2"/>
        <v>0</v>
      </c>
      <c r="I54" s="2">
        <v>3.8</v>
      </c>
      <c r="J54" s="2" t="str">
        <f t="shared" si="3"/>
        <v>Average</v>
      </c>
    </row>
    <row r="55" spans="1:10" x14ac:dyDescent="0.3">
      <c r="A55" s="2" t="s">
        <v>54</v>
      </c>
      <c r="B55" s="6">
        <v>1459</v>
      </c>
      <c r="C55" s="6">
        <v>1499</v>
      </c>
      <c r="D55" s="7">
        <v>0.03</v>
      </c>
      <c r="E55" s="7" t="str">
        <f t="shared" si="1"/>
        <v>Low</v>
      </c>
      <c r="F55" s="6">
        <f t="shared" si="4"/>
        <v>40</v>
      </c>
      <c r="G55" s="2">
        <v>0</v>
      </c>
      <c r="H55" s="2">
        <f t="shared" si="2"/>
        <v>0</v>
      </c>
      <c r="I55" s="2">
        <v>3.8</v>
      </c>
      <c r="J55" s="2" t="str">
        <f t="shared" si="3"/>
        <v>Average</v>
      </c>
    </row>
    <row r="56" spans="1:10" x14ac:dyDescent="0.3">
      <c r="A56" s="2" t="s">
        <v>55</v>
      </c>
      <c r="B56" s="6">
        <v>799</v>
      </c>
      <c r="C56" s="6">
        <v>1343</v>
      </c>
      <c r="D56" s="7">
        <v>0.41</v>
      </c>
      <c r="E56" s="7" t="str">
        <f t="shared" si="1"/>
        <v>High</v>
      </c>
      <c r="F56" s="6">
        <f t="shared" si="4"/>
        <v>544</v>
      </c>
      <c r="G56" s="2">
        <v>0</v>
      </c>
      <c r="H56" s="2">
        <f t="shared" si="2"/>
        <v>0</v>
      </c>
      <c r="I56" s="2">
        <v>3.8</v>
      </c>
      <c r="J56" s="2" t="str">
        <f t="shared" si="3"/>
        <v>Average</v>
      </c>
    </row>
    <row r="57" spans="1:10" x14ac:dyDescent="0.3">
      <c r="A57" s="2" t="s">
        <v>56</v>
      </c>
      <c r="B57" s="6">
        <v>499</v>
      </c>
      <c r="C57" s="6">
        <v>900</v>
      </c>
      <c r="D57" s="7">
        <v>0.45</v>
      </c>
      <c r="E57" s="7" t="str">
        <f t="shared" si="1"/>
        <v>High</v>
      </c>
      <c r="F57" s="6">
        <f t="shared" si="4"/>
        <v>401</v>
      </c>
      <c r="G57" s="2">
        <v>0</v>
      </c>
      <c r="H57" s="2">
        <f t="shared" si="2"/>
        <v>0</v>
      </c>
      <c r="I57" s="2">
        <v>3.8</v>
      </c>
      <c r="J57" s="2" t="str">
        <f t="shared" si="3"/>
        <v>Average</v>
      </c>
    </row>
    <row r="58" spans="1:10" x14ac:dyDescent="0.3">
      <c r="A58" s="2" t="s">
        <v>57</v>
      </c>
      <c r="B58" s="6">
        <v>699</v>
      </c>
      <c r="C58" s="6">
        <v>1343</v>
      </c>
      <c r="D58" s="7">
        <v>0.48</v>
      </c>
      <c r="E58" s="7" t="str">
        <f t="shared" si="1"/>
        <v>High</v>
      </c>
      <c r="F58" s="6">
        <f t="shared" si="4"/>
        <v>644</v>
      </c>
      <c r="G58" s="2">
        <v>0</v>
      </c>
      <c r="H58" s="2">
        <f t="shared" si="2"/>
        <v>0</v>
      </c>
      <c r="I58" s="2">
        <v>3.8</v>
      </c>
      <c r="J58" s="2" t="str">
        <f t="shared" si="3"/>
        <v>Average</v>
      </c>
    </row>
    <row r="59" spans="1:10" x14ac:dyDescent="0.3">
      <c r="A59" s="2" t="s">
        <v>58</v>
      </c>
      <c r="B59" s="6">
        <v>799</v>
      </c>
      <c r="C59" s="6">
        <v>1567</v>
      </c>
      <c r="D59" s="7">
        <v>0.49</v>
      </c>
      <c r="E59" s="7" t="str">
        <f t="shared" si="1"/>
        <v>High</v>
      </c>
      <c r="F59" s="6">
        <f t="shared" si="4"/>
        <v>768</v>
      </c>
      <c r="G59" s="2">
        <v>0</v>
      </c>
      <c r="H59" s="2">
        <f t="shared" si="2"/>
        <v>0</v>
      </c>
      <c r="I59" s="2">
        <v>3.8</v>
      </c>
      <c r="J59" s="2" t="str">
        <f t="shared" si="3"/>
        <v>Average</v>
      </c>
    </row>
    <row r="60" spans="1:10" x14ac:dyDescent="0.3">
      <c r="A60" s="2" t="s">
        <v>59</v>
      </c>
      <c r="B60" s="6">
        <v>2799</v>
      </c>
      <c r="C60" s="6">
        <v>3810</v>
      </c>
      <c r="D60" s="7">
        <v>0.27</v>
      </c>
      <c r="E60" s="7" t="str">
        <f t="shared" si="1"/>
        <v>Medium</v>
      </c>
      <c r="F60" s="6">
        <f t="shared" si="4"/>
        <v>1011</v>
      </c>
      <c r="G60" s="2">
        <v>0</v>
      </c>
      <c r="H60" s="2">
        <f t="shared" si="2"/>
        <v>0</v>
      </c>
      <c r="I60" s="2">
        <v>3.8</v>
      </c>
      <c r="J60" s="2" t="str">
        <f t="shared" si="3"/>
        <v>Average</v>
      </c>
    </row>
    <row r="61" spans="1:10" x14ac:dyDescent="0.3">
      <c r="A61" s="2" t="s">
        <v>56</v>
      </c>
      <c r="B61" s="6">
        <v>399</v>
      </c>
      <c r="C61" s="6">
        <v>896</v>
      </c>
      <c r="D61" s="7">
        <v>0.55000000000000004</v>
      </c>
      <c r="E61" s="7" t="str">
        <f t="shared" si="1"/>
        <v>High</v>
      </c>
      <c r="F61" s="6">
        <f t="shared" si="4"/>
        <v>497</v>
      </c>
      <c r="G61" s="2">
        <v>0</v>
      </c>
      <c r="H61" s="2">
        <f t="shared" si="2"/>
        <v>0</v>
      </c>
      <c r="I61" s="2">
        <v>3.8</v>
      </c>
      <c r="J61" s="2" t="str">
        <f t="shared" si="3"/>
        <v>Average</v>
      </c>
    </row>
    <row r="62" spans="1:10" x14ac:dyDescent="0.3">
      <c r="A62" s="2" t="s">
        <v>60</v>
      </c>
      <c r="B62" s="6">
        <v>2170</v>
      </c>
      <c r="C62" s="6">
        <v>2500</v>
      </c>
      <c r="D62" s="7">
        <v>0.13</v>
      </c>
      <c r="E62" s="7" t="str">
        <f t="shared" si="1"/>
        <v>Low</v>
      </c>
      <c r="F62" s="6">
        <f t="shared" si="4"/>
        <v>330</v>
      </c>
      <c r="G62" s="2">
        <v>-6</v>
      </c>
      <c r="H62" s="2">
        <f t="shared" si="2"/>
        <v>6</v>
      </c>
      <c r="I62" s="2">
        <v>2.5</v>
      </c>
      <c r="J62" s="2" t="str">
        <f t="shared" si="3"/>
        <v>poor</v>
      </c>
    </row>
    <row r="63" spans="1:10" x14ac:dyDescent="0.3">
      <c r="A63" s="2" t="s">
        <v>61</v>
      </c>
      <c r="B63" s="6">
        <v>458</v>
      </c>
      <c r="C63" s="6">
        <v>986</v>
      </c>
      <c r="D63" s="7">
        <v>0.54</v>
      </c>
      <c r="E63" s="7" t="str">
        <f t="shared" si="1"/>
        <v>High</v>
      </c>
      <c r="F63" s="6">
        <f t="shared" si="4"/>
        <v>528</v>
      </c>
      <c r="G63" s="2">
        <v>-10</v>
      </c>
      <c r="H63" s="2">
        <f t="shared" si="2"/>
        <v>10</v>
      </c>
      <c r="I63" s="2">
        <v>3</v>
      </c>
      <c r="J63" s="2" t="str">
        <f t="shared" si="3"/>
        <v>Average</v>
      </c>
    </row>
    <row r="64" spans="1:10" x14ac:dyDescent="0.3">
      <c r="A64" s="2" t="s">
        <v>62</v>
      </c>
      <c r="B64" s="6">
        <v>2115</v>
      </c>
      <c r="C64" s="6">
        <v>4700</v>
      </c>
      <c r="D64" s="7">
        <v>0.55000000000000004</v>
      </c>
      <c r="E64" s="7" t="str">
        <f t="shared" si="1"/>
        <v>High</v>
      </c>
      <c r="F64" s="6">
        <f t="shared" si="4"/>
        <v>2585</v>
      </c>
      <c r="G64" s="2">
        <v>-13</v>
      </c>
      <c r="H64" s="2">
        <f t="shared" si="2"/>
        <v>13</v>
      </c>
      <c r="I64" s="2">
        <v>2.1</v>
      </c>
      <c r="J64" s="2" t="str">
        <f t="shared" si="3"/>
        <v>poor</v>
      </c>
    </row>
    <row r="65" spans="1:10" x14ac:dyDescent="0.3">
      <c r="A65" s="2" t="s">
        <v>63</v>
      </c>
      <c r="B65" s="6">
        <v>445</v>
      </c>
      <c r="C65" s="6">
        <v>873</v>
      </c>
      <c r="D65" s="7">
        <v>0.49</v>
      </c>
      <c r="E65" s="7" t="str">
        <f t="shared" si="1"/>
        <v>High</v>
      </c>
      <c r="F65" s="6">
        <f t="shared" si="4"/>
        <v>428</v>
      </c>
      <c r="G65" s="2">
        <v>-69</v>
      </c>
      <c r="H65" s="2">
        <f t="shared" si="2"/>
        <v>69</v>
      </c>
      <c r="I65" s="2">
        <v>2.8</v>
      </c>
      <c r="J65" s="2" t="str">
        <f t="shared" si="3"/>
        <v>poor</v>
      </c>
    </row>
    <row r="66" spans="1:10" x14ac:dyDescent="0.3">
      <c r="A66" s="2" t="s">
        <v>64</v>
      </c>
      <c r="B66" s="6">
        <v>325</v>
      </c>
      <c r="C66" s="6">
        <v>680</v>
      </c>
      <c r="D66" s="7">
        <v>0.52</v>
      </c>
      <c r="E66" s="7" t="str">
        <f t="shared" si="1"/>
        <v>High</v>
      </c>
      <c r="F66" s="6">
        <f t="shared" ref="F66:F97" si="5">C66-B66</f>
        <v>355</v>
      </c>
      <c r="G66" s="2">
        <v>-15</v>
      </c>
      <c r="H66" s="2">
        <f t="shared" si="2"/>
        <v>15</v>
      </c>
      <c r="I66" s="2">
        <v>2.7</v>
      </c>
      <c r="J66" s="2" t="str">
        <f t="shared" si="3"/>
        <v>poor</v>
      </c>
    </row>
    <row r="67" spans="1:10" x14ac:dyDescent="0.3">
      <c r="A67" s="2" t="s">
        <v>65</v>
      </c>
      <c r="B67" s="6">
        <v>1220</v>
      </c>
      <c r="C67" s="6">
        <v>1555</v>
      </c>
      <c r="D67" s="7">
        <v>0.22</v>
      </c>
      <c r="E67" s="7" t="str">
        <f t="shared" ref="E67:E116" si="6">IF(D67&gt;40%,"High",IF(D67&gt;20%,"Medium","Low"))</f>
        <v>Medium</v>
      </c>
      <c r="F67" s="6">
        <f t="shared" si="5"/>
        <v>335</v>
      </c>
      <c r="G67" s="2">
        <v>-16</v>
      </c>
      <c r="H67" s="2">
        <f t="shared" ref="H67:H116" si="7">ABS(G67)</f>
        <v>16</v>
      </c>
      <c r="I67" s="2">
        <v>2.9</v>
      </c>
      <c r="J67" s="2" t="str">
        <f t="shared" ref="J67:J116" si="8">IF(I67&gt;=4.5,"Excellent",IF(I67&gt;=3,"Average","poor"))</f>
        <v>poor</v>
      </c>
    </row>
    <row r="68" spans="1:10" x14ac:dyDescent="0.3">
      <c r="A68" s="2" t="s">
        <v>66</v>
      </c>
      <c r="B68" s="6">
        <v>990</v>
      </c>
      <c r="C68" s="6">
        <v>1814</v>
      </c>
      <c r="D68" s="7">
        <v>0.45</v>
      </c>
      <c r="E68" s="7" t="str">
        <f t="shared" si="6"/>
        <v>High</v>
      </c>
      <c r="F68" s="6">
        <f t="shared" si="5"/>
        <v>824</v>
      </c>
      <c r="G68" s="2">
        <v>-6</v>
      </c>
      <c r="H68" s="2">
        <f t="shared" si="7"/>
        <v>6</v>
      </c>
      <c r="I68" s="2">
        <v>2.2000000000000002</v>
      </c>
      <c r="J68" s="2" t="str">
        <f t="shared" si="8"/>
        <v>poor</v>
      </c>
    </row>
    <row r="69" spans="1:10" x14ac:dyDescent="0.3">
      <c r="A69" s="2" t="s">
        <v>67</v>
      </c>
      <c r="B69" s="6">
        <v>1000</v>
      </c>
      <c r="C69" s="6">
        <v>2000</v>
      </c>
      <c r="D69" s="7">
        <v>0.5</v>
      </c>
      <c r="E69" s="7" t="str">
        <f t="shared" si="6"/>
        <v>High</v>
      </c>
      <c r="F69" s="6">
        <f t="shared" si="5"/>
        <v>1000</v>
      </c>
      <c r="G69" s="2">
        <v>-7</v>
      </c>
      <c r="H69" s="2">
        <f t="shared" si="7"/>
        <v>7</v>
      </c>
      <c r="I69" s="2">
        <v>2.2999999999999998</v>
      </c>
      <c r="J69" s="2" t="str">
        <f t="shared" si="8"/>
        <v>poor</v>
      </c>
    </row>
    <row r="70" spans="1:10" x14ac:dyDescent="0.3">
      <c r="A70" s="2" t="s">
        <v>68</v>
      </c>
      <c r="B70" s="6">
        <v>3750</v>
      </c>
      <c r="C70" s="6">
        <v>6143</v>
      </c>
      <c r="D70" s="7">
        <v>0.39</v>
      </c>
      <c r="E70" s="7" t="str">
        <f t="shared" si="6"/>
        <v>Medium</v>
      </c>
      <c r="F70" s="6">
        <f t="shared" si="5"/>
        <v>2393</v>
      </c>
      <c r="G70" s="2">
        <v>-5</v>
      </c>
      <c r="H70" s="2">
        <f t="shared" si="7"/>
        <v>5</v>
      </c>
      <c r="I70" s="2">
        <v>3</v>
      </c>
      <c r="J70" s="2" t="str">
        <f t="shared" si="8"/>
        <v>Average</v>
      </c>
    </row>
    <row r="71" spans="1:10" x14ac:dyDescent="0.3">
      <c r="A71" s="2" t="s">
        <v>69</v>
      </c>
      <c r="B71" s="6">
        <v>382</v>
      </c>
      <c r="C71" s="6">
        <v>700</v>
      </c>
      <c r="D71" s="7">
        <v>0.45</v>
      </c>
      <c r="E71" s="7" t="str">
        <f t="shared" si="6"/>
        <v>High</v>
      </c>
      <c r="F71" s="6">
        <f t="shared" si="5"/>
        <v>318</v>
      </c>
      <c r="G71" s="2">
        <v>-17</v>
      </c>
      <c r="H71" s="2">
        <f t="shared" si="7"/>
        <v>17</v>
      </c>
      <c r="I71" s="2">
        <v>2.6</v>
      </c>
      <c r="J71" s="2" t="str">
        <f t="shared" si="8"/>
        <v>poor</v>
      </c>
    </row>
    <row r="72" spans="1:10" x14ac:dyDescent="0.3">
      <c r="A72" s="2" t="s">
        <v>70</v>
      </c>
      <c r="B72" s="6">
        <v>2300</v>
      </c>
      <c r="C72" s="6">
        <v>3240</v>
      </c>
      <c r="D72" s="7">
        <v>0.28999999999999998</v>
      </c>
      <c r="E72" s="7" t="str">
        <f t="shared" si="6"/>
        <v>Medium</v>
      </c>
      <c r="F72" s="6">
        <f t="shared" si="5"/>
        <v>940</v>
      </c>
      <c r="G72" s="2">
        <v>-5</v>
      </c>
      <c r="H72" s="2">
        <f t="shared" si="7"/>
        <v>5</v>
      </c>
      <c r="I72" s="2">
        <v>3</v>
      </c>
      <c r="J72" s="2" t="str">
        <f t="shared" si="8"/>
        <v>Average</v>
      </c>
    </row>
    <row r="73" spans="1:10" x14ac:dyDescent="0.3">
      <c r="A73" s="2" t="s">
        <v>71</v>
      </c>
      <c r="B73" s="6">
        <v>345</v>
      </c>
      <c r="C73" s="6">
        <v>602</v>
      </c>
      <c r="D73" s="7">
        <v>0.43</v>
      </c>
      <c r="E73" s="7" t="str">
        <f t="shared" si="6"/>
        <v>High</v>
      </c>
      <c r="F73" s="6">
        <f t="shared" si="5"/>
        <v>257</v>
      </c>
      <c r="G73" s="2">
        <v>-6</v>
      </c>
      <c r="H73" s="2">
        <f t="shared" si="7"/>
        <v>6</v>
      </c>
      <c r="I73" s="2">
        <v>2.2999999999999998</v>
      </c>
      <c r="J73" s="2" t="str">
        <f t="shared" si="8"/>
        <v>poor</v>
      </c>
    </row>
    <row r="74" spans="1:10" x14ac:dyDescent="0.3">
      <c r="A74" s="2" t="s">
        <v>72</v>
      </c>
      <c r="B74" s="6">
        <v>509</v>
      </c>
      <c r="C74" s="6">
        <v>899</v>
      </c>
      <c r="D74" s="7">
        <v>0.43</v>
      </c>
      <c r="E74" s="7" t="str">
        <f t="shared" si="6"/>
        <v>High</v>
      </c>
      <c r="F74" s="6">
        <f t="shared" si="5"/>
        <v>390</v>
      </c>
      <c r="G74" s="2">
        <v>-5</v>
      </c>
      <c r="H74" s="2">
        <f t="shared" si="7"/>
        <v>5</v>
      </c>
      <c r="I74" s="2">
        <v>3</v>
      </c>
      <c r="J74" s="2" t="str">
        <f t="shared" si="8"/>
        <v>Average</v>
      </c>
    </row>
    <row r="75" spans="1:10" x14ac:dyDescent="0.3">
      <c r="A75" s="2" t="s">
        <v>73</v>
      </c>
      <c r="B75" s="6">
        <v>968</v>
      </c>
      <c r="C75" s="6">
        <v>1814</v>
      </c>
      <c r="D75" s="7">
        <v>0.47</v>
      </c>
      <c r="E75" s="7" t="str">
        <f t="shared" si="6"/>
        <v>High</v>
      </c>
      <c r="F75" s="6">
        <f t="shared" si="5"/>
        <v>846</v>
      </c>
      <c r="G75" s="2">
        <v>-6</v>
      </c>
      <c r="H75" s="2">
        <f t="shared" si="7"/>
        <v>6</v>
      </c>
      <c r="I75" s="2">
        <v>2.2000000000000002</v>
      </c>
      <c r="J75" s="2" t="str">
        <f t="shared" si="8"/>
        <v>poor</v>
      </c>
    </row>
    <row r="76" spans="1:10" x14ac:dyDescent="0.3">
      <c r="A76" s="2" t="s">
        <v>74</v>
      </c>
      <c r="B76" s="6">
        <v>1570</v>
      </c>
      <c r="C76" s="6">
        <v>2988</v>
      </c>
      <c r="D76" s="7">
        <v>0.47</v>
      </c>
      <c r="E76" s="7" t="str">
        <f t="shared" si="6"/>
        <v>High</v>
      </c>
      <c r="F76" s="6">
        <f t="shared" si="5"/>
        <v>1418</v>
      </c>
      <c r="G76" s="2">
        <v>-7</v>
      </c>
      <c r="H76" s="2">
        <f t="shared" si="7"/>
        <v>7</v>
      </c>
      <c r="I76" s="2">
        <v>2.1</v>
      </c>
      <c r="J76" s="2" t="str">
        <f t="shared" si="8"/>
        <v>poor</v>
      </c>
    </row>
    <row r="77" spans="1:10" x14ac:dyDescent="0.3">
      <c r="A77" s="2" t="s">
        <v>75</v>
      </c>
      <c r="B77" s="6">
        <v>790</v>
      </c>
      <c r="C77" s="6">
        <v>1485</v>
      </c>
      <c r="D77" s="7">
        <v>0.47</v>
      </c>
      <c r="E77" s="7" t="str">
        <f t="shared" si="6"/>
        <v>High</v>
      </c>
      <c r="F77" s="6">
        <f t="shared" si="5"/>
        <v>695</v>
      </c>
      <c r="G77" s="2">
        <v>0</v>
      </c>
      <c r="H77" s="2">
        <f t="shared" si="7"/>
        <v>0</v>
      </c>
      <c r="I77" s="2">
        <v>3.8</v>
      </c>
      <c r="J77" s="2" t="str">
        <f t="shared" si="8"/>
        <v>Average</v>
      </c>
    </row>
    <row r="78" spans="1:10" x14ac:dyDescent="0.3">
      <c r="A78" s="2" t="s">
        <v>76</v>
      </c>
      <c r="B78" s="6">
        <v>690</v>
      </c>
      <c r="C78" s="6">
        <v>1200</v>
      </c>
      <c r="D78" s="7">
        <v>0.43</v>
      </c>
      <c r="E78" s="7" t="str">
        <f t="shared" si="6"/>
        <v>High</v>
      </c>
      <c r="F78" s="6">
        <f t="shared" si="5"/>
        <v>510</v>
      </c>
      <c r="G78" s="2">
        <v>0</v>
      </c>
      <c r="H78" s="2">
        <f t="shared" si="7"/>
        <v>0</v>
      </c>
      <c r="I78" s="2">
        <v>3.8</v>
      </c>
      <c r="J78" s="2" t="str">
        <f t="shared" si="8"/>
        <v>Average</v>
      </c>
    </row>
    <row r="79" spans="1:10" x14ac:dyDescent="0.3">
      <c r="A79" s="2" t="s">
        <v>77</v>
      </c>
      <c r="B79" s="6">
        <v>1732</v>
      </c>
      <c r="C79" s="6">
        <v>1799</v>
      </c>
      <c r="D79" s="7">
        <v>0.04</v>
      </c>
      <c r="E79" s="7" t="str">
        <f t="shared" si="6"/>
        <v>Low</v>
      </c>
      <c r="F79" s="6">
        <f t="shared" si="5"/>
        <v>67</v>
      </c>
      <c r="G79" s="2">
        <v>0</v>
      </c>
      <c r="H79" s="2">
        <f t="shared" si="7"/>
        <v>0</v>
      </c>
      <c r="I79" s="2">
        <v>3.8</v>
      </c>
      <c r="J79" s="2" t="str">
        <f t="shared" si="8"/>
        <v>Average</v>
      </c>
    </row>
    <row r="80" spans="1:10" x14ac:dyDescent="0.3">
      <c r="A80" s="2" t="s">
        <v>78</v>
      </c>
      <c r="B80" s="6">
        <v>230</v>
      </c>
      <c r="C80" s="6">
        <v>450</v>
      </c>
      <c r="D80" s="7">
        <v>0.49</v>
      </c>
      <c r="E80" s="7" t="str">
        <f t="shared" si="6"/>
        <v>High</v>
      </c>
      <c r="F80" s="6">
        <f t="shared" si="5"/>
        <v>220</v>
      </c>
      <c r="G80" s="2">
        <v>0</v>
      </c>
      <c r="H80" s="2">
        <f t="shared" si="7"/>
        <v>0</v>
      </c>
      <c r="I80" s="2">
        <v>3.8</v>
      </c>
      <c r="J80" s="2" t="str">
        <f t="shared" si="8"/>
        <v>Average</v>
      </c>
    </row>
    <row r="81" spans="1:10" x14ac:dyDescent="0.3">
      <c r="A81" s="2" t="s">
        <v>79</v>
      </c>
      <c r="B81" s="6">
        <v>1189</v>
      </c>
      <c r="C81" s="6">
        <v>2199</v>
      </c>
      <c r="D81" s="7">
        <v>0.46</v>
      </c>
      <c r="E81" s="7" t="str">
        <f t="shared" si="6"/>
        <v>High</v>
      </c>
      <c r="F81" s="6">
        <f t="shared" si="5"/>
        <v>1010</v>
      </c>
      <c r="G81" s="2">
        <v>-1</v>
      </c>
      <c r="H81" s="2">
        <f t="shared" si="7"/>
        <v>1</v>
      </c>
      <c r="I81" s="2">
        <v>3</v>
      </c>
      <c r="J81" s="2" t="str">
        <f t="shared" si="8"/>
        <v>Average</v>
      </c>
    </row>
    <row r="82" spans="1:10" x14ac:dyDescent="0.3">
      <c r="A82" s="2" t="s">
        <v>80</v>
      </c>
      <c r="B82" s="6">
        <v>979</v>
      </c>
      <c r="C82" s="6">
        <v>1920</v>
      </c>
      <c r="D82" s="7">
        <v>0.49</v>
      </c>
      <c r="E82" s="7" t="str">
        <f t="shared" si="6"/>
        <v>High</v>
      </c>
      <c r="F82" s="6">
        <f t="shared" si="5"/>
        <v>941</v>
      </c>
      <c r="G82" s="2">
        <v>-1</v>
      </c>
      <c r="H82" s="2">
        <f t="shared" si="7"/>
        <v>1</v>
      </c>
      <c r="I82" s="2">
        <v>5</v>
      </c>
      <c r="J82" s="2" t="str">
        <f t="shared" si="8"/>
        <v>Excellent</v>
      </c>
    </row>
    <row r="83" spans="1:10" x14ac:dyDescent="0.3">
      <c r="A83" s="2" t="s">
        <v>81</v>
      </c>
      <c r="B83" s="6">
        <v>1460</v>
      </c>
      <c r="C83" s="6">
        <v>2290</v>
      </c>
      <c r="D83" s="7">
        <v>0.36</v>
      </c>
      <c r="E83" s="7" t="str">
        <f t="shared" si="6"/>
        <v>Medium</v>
      </c>
      <c r="F83" s="6">
        <f t="shared" si="5"/>
        <v>830</v>
      </c>
      <c r="G83" s="2">
        <v>0</v>
      </c>
      <c r="H83" s="2">
        <f t="shared" si="7"/>
        <v>0</v>
      </c>
      <c r="I83" s="2">
        <v>3.8</v>
      </c>
      <c r="J83" s="2" t="str">
        <f t="shared" si="8"/>
        <v>Average</v>
      </c>
    </row>
    <row r="84" spans="1:10" x14ac:dyDescent="0.3">
      <c r="A84" s="2" t="s">
        <v>82</v>
      </c>
      <c r="B84" s="6">
        <v>1666</v>
      </c>
      <c r="C84" s="6">
        <v>1699</v>
      </c>
      <c r="D84" s="7">
        <v>0.02</v>
      </c>
      <c r="E84" s="7" t="str">
        <f t="shared" si="6"/>
        <v>Low</v>
      </c>
      <c r="F84" s="6">
        <f t="shared" si="5"/>
        <v>33</v>
      </c>
      <c r="G84" s="2">
        <v>0</v>
      </c>
      <c r="H84" s="2">
        <f t="shared" si="7"/>
        <v>0</v>
      </c>
      <c r="I84" s="2">
        <v>3.8</v>
      </c>
      <c r="J84" s="2" t="str">
        <f t="shared" si="8"/>
        <v>Average</v>
      </c>
    </row>
    <row r="85" spans="1:10" x14ac:dyDescent="0.3">
      <c r="A85" s="2" t="s">
        <v>83</v>
      </c>
      <c r="B85" s="6">
        <v>330</v>
      </c>
      <c r="C85" s="6">
        <v>647</v>
      </c>
      <c r="D85" s="7">
        <v>0.49</v>
      </c>
      <c r="E85" s="7" t="str">
        <f t="shared" si="6"/>
        <v>High</v>
      </c>
      <c r="F85" s="6">
        <f t="shared" si="5"/>
        <v>317</v>
      </c>
      <c r="G85" s="2">
        <v>-1</v>
      </c>
      <c r="H85" s="2">
        <f t="shared" si="7"/>
        <v>1</v>
      </c>
      <c r="I85" s="2">
        <v>4</v>
      </c>
      <c r="J85" s="2" t="str">
        <f t="shared" si="8"/>
        <v>Average</v>
      </c>
    </row>
    <row r="86" spans="1:10" x14ac:dyDescent="0.3">
      <c r="A86" s="2" t="s">
        <v>44</v>
      </c>
      <c r="B86" s="6">
        <v>610</v>
      </c>
      <c r="C86" s="6">
        <v>1060</v>
      </c>
      <c r="D86" s="7">
        <v>0.42</v>
      </c>
      <c r="E86" s="7" t="str">
        <f t="shared" si="6"/>
        <v>High</v>
      </c>
      <c r="F86" s="6">
        <f t="shared" si="5"/>
        <v>450</v>
      </c>
      <c r="G86" s="2">
        <v>0</v>
      </c>
      <c r="H86" s="2">
        <f t="shared" si="7"/>
        <v>0</v>
      </c>
      <c r="I86" s="2">
        <v>3.8</v>
      </c>
      <c r="J86" s="2" t="str">
        <f t="shared" si="8"/>
        <v>Average</v>
      </c>
    </row>
    <row r="87" spans="1:10" x14ac:dyDescent="0.3">
      <c r="A87" s="2" t="s">
        <v>50</v>
      </c>
      <c r="B87" s="6">
        <v>176</v>
      </c>
      <c r="C87" s="6">
        <v>345</v>
      </c>
      <c r="D87" s="7">
        <v>0.49</v>
      </c>
      <c r="E87" s="7" t="str">
        <f t="shared" si="6"/>
        <v>High</v>
      </c>
      <c r="F87" s="6">
        <f t="shared" si="5"/>
        <v>169</v>
      </c>
      <c r="G87" s="2">
        <v>0</v>
      </c>
      <c r="H87" s="2">
        <f t="shared" si="7"/>
        <v>0</v>
      </c>
      <c r="I87" s="2">
        <v>3.8</v>
      </c>
      <c r="J87" s="2" t="str">
        <f t="shared" si="8"/>
        <v>Average</v>
      </c>
    </row>
    <row r="88" spans="1:10" x14ac:dyDescent="0.3">
      <c r="A88" s="2" t="s">
        <v>84</v>
      </c>
      <c r="B88" s="6">
        <v>1466</v>
      </c>
      <c r="C88" s="6">
        <v>1699</v>
      </c>
      <c r="D88" s="7">
        <v>0.14000000000000001</v>
      </c>
      <c r="E88" s="7" t="str">
        <f t="shared" si="6"/>
        <v>Low</v>
      </c>
      <c r="F88" s="6">
        <f t="shared" si="5"/>
        <v>233</v>
      </c>
      <c r="G88" s="2">
        <v>0</v>
      </c>
      <c r="H88" s="2">
        <f t="shared" si="7"/>
        <v>0</v>
      </c>
      <c r="I88" s="2">
        <v>3.8</v>
      </c>
      <c r="J88" s="2" t="str">
        <f t="shared" si="8"/>
        <v>Average</v>
      </c>
    </row>
    <row r="89" spans="1:10" x14ac:dyDescent="0.3">
      <c r="A89" s="2" t="s">
        <v>85</v>
      </c>
      <c r="B89" s="6">
        <v>274</v>
      </c>
      <c r="C89" s="6">
        <v>537</v>
      </c>
      <c r="D89" s="7">
        <v>0.49</v>
      </c>
      <c r="E89" s="7" t="str">
        <f t="shared" si="6"/>
        <v>High</v>
      </c>
      <c r="F89" s="6">
        <f t="shared" si="5"/>
        <v>263</v>
      </c>
      <c r="G89" s="2">
        <v>0</v>
      </c>
      <c r="H89" s="2">
        <f t="shared" si="7"/>
        <v>0</v>
      </c>
      <c r="I89" s="2">
        <v>3.8</v>
      </c>
      <c r="J89" s="2" t="str">
        <f t="shared" si="8"/>
        <v>Average</v>
      </c>
    </row>
    <row r="90" spans="1:10" x14ac:dyDescent="0.3">
      <c r="A90" s="2" t="s">
        <v>86</v>
      </c>
      <c r="B90" s="6">
        <v>799</v>
      </c>
      <c r="C90" s="6">
        <v>900</v>
      </c>
      <c r="D90" s="7">
        <v>0.11</v>
      </c>
      <c r="E90" s="7" t="str">
        <f t="shared" si="6"/>
        <v>Low</v>
      </c>
      <c r="F90" s="6">
        <f t="shared" si="5"/>
        <v>101</v>
      </c>
      <c r="G90" s="2">
        <v>0</v>
      </c>
      <c r="H90" s="2">
        <f t="shared" si="7"/>
        <v>0</v>
      </c>
      <c r="I90" s="2">
        <v>3.8</v>
      </c>
      <c r="J90" s="2" t="str">
        <f t="shared" si="8"/>
        <v>Average</v>
      </c>
    </row>
    <row r="91" spans="1:10" x14ac:dyDescent="0.3">
      <c r="A91" s="2" t="s">
        <v>58</v>
      </c>
      <c r="B91" s="6">
        <v>657</v>
      </c>
      <c r="C91" s="6">
        <v>1288</v>
      </c>
      <c r="D91" s="7">
        <v>0.49</v>
      </c>
      <c r="E91" s="7" t="str">
        <f t="shared" si="6"/>
        <v>High</v>
      </c>
      <c r="F91" s="6">
        <f t="shared" si="5"/>
        <v>631</v>
      </c>
      <c r="G91" s="2">
        <v>0</v>
      </c>
      <c r="H91" s="2">
        <f t="shared" si="7"/>
        <v>0</v>
      </c>
      <c r="I91" s="2">
        <v>3.8</v>
      </c>
      <c r="J91" s="2" t="str">
        <f t="shared" si="8"/>
        <v>Average</v>
      </c>
    </row>
    <row r="92" spans="1:10" x14ac:dyDescent="0.3">
      <c r="A92" s="2" t="s">
        <v>87</v>
      </c>
      <c r="B92" s="6">
        <v>1468</v>
      </c>
      <c r="C92" s="6">
        <v>1699</v>
      </c>
      <c r="D92" s="7">
        <v>0.14000000000000001</v>
      </c>
      <c r="E92" s="7" t="str">
        <f t="shared" si="6"/>
        <v>Low</v>
      </c>
      <c r="F92" s="6">
        <f t="shared" si="5"/>
        <v>231</v>
      </c>
      <c r="G92" s="2">
        <v>0</v>
      </c>
      <c r="H92" s="2">
        <f t="shared" si="7"/>
        <v>0</v>
      </c>
      <c r="I92" s="2">
        <v>3.8</v>
      </c>
      <c r="J92" s="2" t="str">
        <f t="shared" si="8"/>
        <v>Average</v>
      </c>
    </row>
    <row r="93" spans="1:10" x14ac:dyDescent="0.3">
      <c r="A93" s="2" t="s">
        <v>88</v>
      </c>
      <c r="B93" s="6">
        <v>630</v>
      </c>
      <c r="C93" s="6">
        <v>1100</v>
      </c>
      <c r="D93" s="7">
        <v>0.43</v>
      </c>
      <c r="E93" s="7" t="str">
        <f t="shared" si="6"/>
        <v>High</v>
      </c>
      <c r="F93" s="6">
        <f t="shared" si="5"/>
        <v>470</v>
      </c>
      <c r="G93" s="2">
        <v>0</v>
      </c>
      <c r="H93" s="2">
        <f t="shared" si="7"/>
        <v>0</v>
      </c>
      <c r="I93" s="2">
        <v>3.8</v>
      </c>
      <c r="J93" s="2" t="str">
        <f t="shared" si="8"/>
        <v>Average</v>
      </c>
    </row>
    <row r="94" spans="1:10" x14ac:dyDescent="0.3">
      <c r="A94" s="2" t="s">
        <v>89</v>
      </c>
      <c r="B94" s="6">
        <v>850</v>
      </c>
      <c r="C94" s="6">
        <v>1700</v>
      </c>
      <c r="D94" s="7">
        <v>0.5</v>
      </c>
      <c r="E94" s="7" t="str">
        <f t="shared" si="6"/>
        <v>High</v>
      </c>
      <c r="F94" s="6">
        <f t="shared" si="5"/>
        <v>850</v>
      </c>
      <c r="G94" s="2">
        <v>0</v>
      </c>
      <c r="H94" s="2">
        <f t="shared" si="7"/>
        <v>0</v>
      </c>
      <c r="I94" s="2">
        <v>3.8</v>
      </c>
      <c r="J94" s="2" t="str">
        <f t="shared" si="8"/>
        <v>Average</v>
      </c>
    </row>
    <row r="95" spans="1:10" x14ac:dyDescent="0.3">
      <c r="A95" s="2" t="s">
        <v>90</v>
      </c>
      <c r="B95" s="6">
        <v>1300</v>
      </c>
      <c r="C95" s="6">
        <v>2500</v>
      </c>
      <c r="D95" s="7">
        <v>0.48</v>
      </c>
      <c r="E95" s="7" t="str">
        <f t="shared" si="6"/>
        <v>High</v>
      </c>
      <c r="F95" s="6">
        <f t="shared" si="5"/>
        <v>1200</v>
      </c>
      <c r="G95" s="2">
        <v>0</v>
      </c>
      <c r="H95" s="2">
        <f t="shared" si="7"/>
        <v>0</v>
      </c>
      <c r="I95" s="2">
        <v>3.8</v>
      </c>
      <c r="J95" s="2" t="str">
        <f t="shared" si="8"/>
        <v>Average</v>
      </c>
    </row>
    <row r="96" spans="1:10" x14ac:dyDescent="0.3">
      <c r="A96" s="2" t="s">
        <v>91</v>
      </c>
      <c r="B96" s="6">
        <v>105</v>
      </c>
      <c r="C96" s="6">
        <v>200</v>
      </c>
      <c r="D96" s="7">
        <v>0.48</v>
      </c>
      <c r="E96" s="7" t="str">
        <f t="shared" si="6"/>
        <v>High</v>
      </c>
      <c r="F96" s="6">
        <f t="shared" si="5"/>
        <v>95</v>
      </c>
      <c r="G96" s="2">
        <v>0</v>
      </c>
      <c r="H96" s="2">
        <f t="shared" si="7"/>
        <v>0</v>
      </c>
      <c r="I96" s="2">
        <v>3.8</v>
      </c>
      <c r="J96" s="2" t="str">
        <f t="shared" si="8"/>
        <v>Average</v>
      </c>
    </row>
    <row r="97" spans="1:13" x14ac:dyDescent="0.3">
      <c r="A97" s="2" t="s">
        <v>92</v>
      </c>
      <c r="B97" s="6">
        <v>899</v>
      </c>
      <c r="C97" s="6">
        <v>1699</v>
      </c>
      <c r="D97" s="7">
        <v>0.47</v>
      </c>
      <c r="E97" s="7" t="str">
        <f t="shared" si="6"/>
        <v>High</v>
      </c>
      <c r="F97" s="6">
        <f t="shared" si="5"/>
        <v>800</v>
      </c>
      <c r="G97" s="2">
        <v>0</v>
      </c>
      <c r="H97" s="2">
        <f t="shared" si="7"/>
        <v>0</v>
      </c>
      <c r="I97" s="2">
        <v>3.8</v>
      </c>
      <c r="J97" s="2" t="str">
        <f t="shared" si="8"/>
        <v>Average</v>
      </c>
    </row>
    <row r="98" spans="1:13" x14ac:dyDescent="0.3">
      <c r="A98" s="2" t="s">
        <v>92</v>
      </c>
      <c r="B98" s="6">
        <v>899</v>
      </c>
      <c r="C98" s="6">
        <v>1699</v>
      </c>
      <c r="D98" s="7">
        <v>0.47</v>
      </c>
      <c r="E98" s="7" t="str">
        <f t="shared" si="6"/>
        <v>High</v>
      </c>
      <c r="F98" s="6">
        <f t="shared" ref="F98:F116" si="9">C98-B98</f>
        <v>800</v>
      </c>
      <c r="G98" s="2">
        <v>0</v>
      </c>
      <c r="H98" s="2">
        <f t="shared" si="7"/>
        <v>0</v>
      </c>
      <c r="I98" s="2">
        <v>3.8</v>
      </c>
      <c r="J98" s="2" t="str">
        <f t="shared" si="8"/>
        <v>Average</v>
      </c>
    </row>
    <row r="99" spans="1:13" x14ac:dyDescent="0.3">
      <c r="A99" s="2" t="s">
        <v>93</v>
      </c>
      <c r="B99" s="6">
        <v>1200</v>
      </c>
      <c r="C99" s="6">
        <v>2400</v>
      </c>
      <c r="D99" s="7">
        <v>0.5</v>
      </c>
      <c r="E99" s="7" t="str">
        <f t="shared" si="6"/>
        <v>High</v>
      </c>
      <c r="F99" s="6">
        <f t="shared" si="9"/>
        <v>1200</v>
      </c>
      <c r="G99" s="2">
        <v>0</v>
      </c>
      <c r="H99" s="2">
        <f t="shared" si="7"/>
        <v>0</v>
      </c>
      <c r="I99" s="2">
        <v>3.8</v>
      </c>
      <c r="J99" s="2" t="str">
        <f t="shared" si="8"/>
        <v>Average</v>
      </c>
    </row>
    <row r="100" spans="1:13" x14ac:dyDescent="0.3">
      <c r="A100" s="2" t="s">
        <v>94</v>
      </c>
      <c r="B100" s="6">
        <v>1526</v>
      </c>
      <c r="C100" s="6">
        <v>1660</v>
      </c>
      <c r="D100" s="7">
        <v>0.08</v>
      </c>
      <c r="E100" s="7" t="str">
        <f t="shared" si="6"/>
        <v>Low</v>
      </c>
      <c r="F100" s="6">
        <f t="shared" si="9"/>
        <v>134</v>
      </c>
      <c r="G100" s="2">
        <v>0</v>
      </c>
      <c r="H100" s="2">
        <f t="shared" si="7"/>
        <v>0</v>
      </c>
      <c r="I100" s="2">
        <v>3.8</v>
      </c>
      <c r="J100" s="2" t="str">
        <f t="shared" si="8"/>
        <v>Average</v>
      </c>
    </row>
    <row r="101" spans="1:13" x14ac:dyDescent="0.3">
      <c r="A101" s="2" t="s">
        <v>95</v>
      </c>
      <c r="B101" s="6">
        <v>1462</v>
      </c>
      <c r="C101" s="6">
        <v>1499</v>
      </c>
      <c r="D101" s="7">
        <v>0.02</v>
      </c>
      <c r="E101" s="7" t="str">
        <f t="shared" si="6"/>
        <v>Low</v>
      </c>
      <c r="F101" s="6">
        <f t="shared" si="9"/>
        <v>37</v>
      </c>
      <c r="G101" s="2">
        <v>0</v>
      </c>
      <c r="H101" s="2">
        <f t="shared" si="7"/>
        <v>0</v>
      </c>
      <c r="I101" s="2">
        <v>3.8</v>
      </c>
      <c r="J101" s="2" t="str">
        <f t="shared" si="8"/>
        <v>Average</v>
      </c>
    </row>
    <row r="102" spans="1:13" x14ac:dyDescent="0.3">
      <c r="A102" s="2" t="s">
        <v>96</v>
      </c>
      <c r="B102" s="6">
        <v>248</v>
      </c>
      <c r="C102" s="6">
        <v>486</v>
      </c>
      <c r="D102" s="7">
        <v>0.49</v>
      </c>
      <c r="E102" s="7" t="str">
        <f t="shared" si="6"/>
        <v>High</v>
      </c>
      <c r="F102" s="6">
        <f t="shared" si="9"/>
        <v>238</v>
      </c>
      <c r="G102" s="2">
        <v>0</v>
      </c>
      <c r="H102" s="2">
        <f t="shared" si="7"/>
        <v>0</v>
      </c>
      <c r="I102" s="2">
        <v>3.8</v>
      </c>
      <c r="J102" s="2" t="str">
        <f t="shared" si="8"/>
        <v>Average</v>
      </c>
    </row>
    <row r="103" spans="1:13" x14ac:dyDescent="0.3">
      <c r="A103" s="2" t="s">
        <v>97</v>
      </c>
      <c r="B103" s="6">
        <v>3546</v>
      </c>
      <c r="C103" s="6">
        <v>3699</v>
      </c>
      <c r="D103" s="7">
        <v>0.04</v>
      </c>
      <c r="E103" s="7" t="str">
        <f t="shared" si="6"/>
        <v>Low</v>
      </c>
      <c r="F103" s="6">
        <f t="shared" si="9"/>
        <v>153</v>
      </c>
      <c r="G103" s="2">
        <v>0</v>
      </c>
      <c r="H103" s="2">
        <f t="shared" si="7"/>
        <v>0</v>
      </c>
      <c r="I103" s="2">
        <v>3.8</v>
      </c>
      <c r="J103" s="2" t="str">
        <f t="shared" si="8"/>
        <v>Average</v>
      </c>
    </row>
    <row r="104" spans="1:13" x14ac:dyDescent="0.3">
      <c r="A104" s="2" t="s">
        <v>98</v>
      </c>
      <c r="B104" s="6">
        <v>525</v>
      </c>
      <c r="C104" s="6">
        <v>1029</v>
      </c>
      <c r="D104" s="7">
        <v>0.49</v>
      </c>
      <c r="E104" s="7" t="str">
        <f t="shared" si="6"/>
        <v>High</v>
      </c>
      <c r="F104" s="6">
        <f t="shared" si="9"/>
        <v>504</v>
      </c>
      <c r="G104" s="2">
        <v>0</v>
      </c>
      <c r="H104" s="2">
        <f t="shared" si="7"/>
        <v>0</v>
      </c>
      <c r="I104" s="2">
        <v>3.8</v>
      </c>
      <c r="J104" s="2" t="str">
        <f t="shared" si="8"/>
        <v>Average</v>
      </c>
    </row>
    <row r="105" spans="1:13" x14ac:dyDescent="0.3">
      <c r="A105" s="2" t="s">
        <v>99</v>
      </c>
      <c r="B105" s="6">
        <v>1080</v>
      </c>
      <c r="C105" s="6">
        <v>1874</v>
      </c>
      <c r="D105" s="7">
        <v>0.42</v>
      </c>
      <c r="E105" s="7" t="str">
        <f t="shared" si="6"/>
        <v>High</v>
      </c>
      <c r="F105" s="6">
        <f t="shared" si="9"/>
        <v>794</v>
      </c>
      <c r="G105" s="2">
        <v>0</v>
      </c>
      <c r="H105" s="2">
        <f t="shared" si="7"/>
        <v>0</v>
      </c>
      <c r="I105" s="2">
        <v>3.8</v>
      </c>
      <c r="J105" s="2" t="str">
        <f t="shared" si="8"/>
        <v>Average</v>
      </c>
    </row>
    <row r="106" spans="1:13" x14ac:dyDescent="0.3">
      <c r="A106" s="2" t="s">
        <v>100</v>
      </c>
      <c r="B106" s="6">
        <v>3640</v>
      </c>
      <c r="C106" s="6">
        <v>4588</v>
      </c>
      <c r="D106" s="7">
        <v>0.21</v>
      </c>
      <c r="E106" s="7" t="str">
        <f t="shared" si="6"/>
        <v>Medium</v>
      </c>
      <c r="F106" s="6">
        <f t="shared" si="9"/>
        <v>948</v>
      </c>
      <c r="G106" s="2">
        <v>-1</v>
      </c>
      <c r="H106" s="2">
        <f t="shared" si="7"/>
        <v>1</v>
      </c>
      <c r="I106" s="2">
        <v>5</v>
      </c>
      <c r="J106" s="2" t="str">
        <f t="shared" si="8"/>
        <v>Excellent</v>
      </c>
      <c r="M106" s="6"/>
    </row>
    <row r="107" spans="1:13" x14ac:dyDescent="0.3">
      <c r="A107" s="2" t="s">
        <v>101</v>
      </c>
      <c r="B107" s="6">
        <v>1420</v>
      </c>
      <c r="C107" s="6">
        <v>2420</v>
      </c>
      <c r="D107" s="7">
        <v>0.41</v>
      </c>
      <c r="E107" s="7" t="str">
        <f t="shared" si="6"/>
        <v>High</v>
      </c>
      <c r="F107" s="6">
        <f t="shared" si="9"/>
        <v>1000</v>
      </c>
      <c r="G107" s="2">
        <v>0</v>
      </c>
      <c r="H107" s="2">
        <f t="shared" si="7"/>
        <v>0</v>
      </c>
      <c r="I107" s="2">
        <v>3.8</v>
      </c>
      <c r="J107" s="2" t="str">
        <f t="shared" si="8"/>
        <v>Average</v>
      </c>
      <c r="M107" s="6"/>
    </row>
    <row r="108" spans="1:13" x14ac:dyDescent="0.3">
      <c r="A108" s="2" t="s">
        <v>102</v>
      </c>
      <c r="B108" s="6">
        <v>1875</v>
      </c>
      <c r="C108" s="6">
        <v>1899</v>
      </c>
      <c r="D108" s="7">
        <v>0.01</v>
      </c>
      <c r="E108" s="7" t="str">
        <f t="shared" si="6"/>
        <v>Low</v>
      </c>
      <c r="F108" s="6">
        <f t="shared" si="9"/>
        <v>24</v>
      </c>
      <c r="G108" s="2">
        <v>0</v>
      </c>
      <c r="H108" s="2">
        <f t="shared" si="7"/>
        <v>0</v>
      </c>
      <c r="I108" s="2">
        <v>3.8</v>
      </c>
      <c r="J108" s="2" t="str">
        <f t="shared" si="8"/>
        <v>Average</v>
      </c>
    </row>
    <row r="109" spans="1:13" x14ac:dyDescent="0.3">
      <c r="A109" s="2" t="s">
        <v>103</v>
      </c>
      <c r="B109" s="6">
        <v>198</v>
      </c>
      <c r="C109" s="6">
        <v>260</v>
      </c>
      <c r="D109" s="7">
        <v>0.24</v>
      </c>
      <c r="E109" s="7" t="str">
        <f t="shared" si="6"/>
        <v>Medium</v>
      </c>
      <c r="F109" s="6">
        <f t="shared" si="9"/>
        <v>62</v>
      </c>
      <c r="G109" s="2">
        <v>0</v>
      </c>
      <c r="H109" s="2">
        <f t="shared" si="7"/>
        <v>0</v>
      </c>
      <c r="I109" s="2">
        <v>3.8</v>
      </c>
      <c r="J109" s="2" t="str">
        <f t="shared" si="8"/>
        <v>Average</v>
      </c>
    </row>
    <row r="110" spans="1:13" x14ac:dyDescent="0.3">
      <c r="A110" s="2" t="s">
        <v>104</v>
      </c>
      <c r="B110" s="6">
        <v>1150</v>
      </c>
      <c r="C110" s="6">
        <v>1737</v>
      </c>
      <c r="D110" s="7">
        <v>0.34</v>
      </c>
      <c r="E110" s="7" t="str">
        <f t="shared" si="6"/>
        <v>Medium</v>
      </c>
      <c r="F110" s="6">
        <f t="shared" si="9"/>
        <v>587</v>
      </c>
      <c r="G110" s="2">
        <v>0</v>
      </c>
      <c r="H110" s="2">
        <f t="shared" si="7"/>
        <v>0</v>
      </c>
      <c r="I110" s="2">
        <v>3.8</v>
      </c>
      <c r="J110" s="2" t="str">
        <f t="shared" si="8"/>
        <v>Average</v>
      </c>
    </row>
    <row r="111" spans="1:13" x14ac:dyDescent="0.3">
      <c r="A111" s="2" t="s">
        <v>105</v>
      </c>
      <c r="B111" s="6">
        <v>1190</v>
      </c>
      <c r="C111" s="6">
        <v>1810</v>
      </c>
      <c r="D111" s="7">
        <v>0.34</v>
      </c>
      <c r="E111" s="7" t="str">
        <f t="shared" si="6"/>
        <v>Medium</v>
      </c>
      <c r="F111" s="6">
        <f t="shared" si="9"/>
        <v>620</v>
      </c>
      <c r="G111" s="2">
        <v>0</v>
      </c>
      <c r="H111" s="2">
        <f t="shared" si="7"/>
        <v>0</v>
      </c>
      <c r="I111" s="2">
        <v>3.8</v>
      </c>
      <c r="J111" s="2" t="str">
        <f t="shared" si="8"/>
        <v>Average</v>
      </c>
    </row>
    <row r="112" spans="1:13" x14ac:dyDescent="0.3">
      <c r="A112" s="2" t="s">
        <v>106</v>
      </c>
      <c r="B112" s="6">
        <v>1658</v>
      </c>
      <c r="C112" s="6">
        <v>1699</v>
      </c>
      <c r="D112" s="7">
        <v>0.02</v>
      </c>
      <c r="E112" s="7" t="str">
        <f t="shared" si="6"/>
        <v>Low</v>
      </c>
      <c r="F112" s="6">
        <f t="shared" si="9"/>
        <v>41</v>
      </c>
      <c r="G112" s="2">
        <v>0</v>
      </c>
      <c r="H112" s="2">
        <f t="shared" si="7"/>
        <v>0</v>
      </c>
      <c r="I112" s="2">
        <v>3.8</v>
      </c>
      <c r="J112" s="2" t="str">
        <f t="shared" si="8"/>
        <v>Average</v>
      </c>
    </row>
    <row r="113" spans="1:10" x14ac:dyDescent="0.3">
      <c r="A113" s="2" t="s">
        <v>107</v>
      </c>
      <c r="B113" s="6">
        <v>1768</v>
      </c>
      <c r="C113" s="6">
        <v>1799</v>
      </c>
      <c r="D113" s="7">
        <v>0.02</v>
      </c>
      <c r="E113" s="7" t="str">
        <f t="shared" si="6"/>
        <v>Low</v>
      </c>
      <c r="F113" s="6">
        <f t="shared" si="9"/>
        <v>31</v>
      </c>
      <c r="G113" s="2">
        <v>0</v>
      </c>
      <c r="H113" s="2">
        <f t="shared" si="7"/>
        <v>0</v>
      </c>
      <c r="I113" s="2">
        <v>3.8</v>
      </c>
      <c r="J113" s="2" t="str">
        <f t="shared" si="8"/>
        <v>Average</v>
      </c>
    </row>
    <row r="114" spans="1:10" x14ac:dyDescent="0.3">
      <c r="A114" s="2" t="s">
        <v>108</v>
      </c>
      <c r="B114" s="6">
        <v>199</v>
      </c>
      <c r="C114" s="6">
        <v>553</v>
      </c>
      <c r="D114" s="7">
        <v>0.64</v>
      </c>
      <c r="E114" s="7" t="str">
        <f t="shared" si="6"/>
        <v>High</v>
      </c>
      <c r="F114" s="6">
        <f t="shared" si="9"/>
        <v>354</v>
      </c>
      <c r="G114" s="2">
        <v>0</v>
      </c>
      <c r="H114" s="2">
        <f t="shared" si="7"/>
        <v>0</v>
      </c>
      <c r="I114" s="2">
        <v>3.8</v>
      </c>
      <c r="J114" s="2" t="str">
        <f t="shared" si="8"/>
        <v>Average</v>
      </c>
    </row>
    <row r="115" spans="1:10" x14ac:dyDescent="0.3">
      <c r="A115" s="2" t="s">
        <v>109</v>
      </c>
      <c r="B115" s="6">
        <v>450</v>
      </c>
      <c r="C115" s="6">
        <v>900</v>
      </c>
      <c r="D115" s="7">
        <v>0.5</v>
      </c>
      <c r="E115" s="7" t="str">
        <f t="shared" si="6"/>
        <v>High</v>
      </c>
      <c r="F115" s="6">
        <f t="shared" si="9"/>
        <v>450</v>
      </c>
      <c r="G115" s="2">
        <v>-1</v>
      </c>
      <c r="H115" s="2">
        <f t="shared" si="7"/>
        <v>1</v>
      </c>
      <c r="I115" s="2">
        <v>2</v>
      </c>
      <c r="J115" s="2" t="str">
        <f t="shared" si="8"/>
        <v>poor</v>
      </c>
    </row>
    <row r="116" spans="1:10" x14ac:dyDescent="0.3">
      <c r="A116" s="2" t="s">
        <v>110</v>
      </c>
      <c r="B116" s="6">
        <v>169</v>
      </c>
      <c r="C116" s="6">
        <v>320</v>
      </c>
      <c r="D116" s="7">
        <v>0.47</v>
      </c>
      <c r="E116" s="7" t="str">
        <f t="shared" si="6"/>
        <v>High</v>
      </c>
      <c r="F116" s="6">
        <f t="shared" si="9"/>
        <v>151</v>
      </c>
      <c r="G116" s="2">
        <v>0</v>
      </c>
      <c r="H116" s="2">
        <f t="shared" si="7"/>
        <v>0</v>
      </c>
      <c r="I116" s="2">
        <v>3.8</v>
      </c>
      <c r="J116" s="2" t="str">
        <f t="shared" si="8"/>
        <v>Average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Ave.Rating &amp; Dis.By DisCategory</vt:lpstr>
      <vt:lpstr>Product By Rating Category</vt:lpstr>
      <vt:lpstr>Discount Vs No. of Reviews</vt:lpstr>
      <vt:lpstr>Rating VS Reviews</vt:lpstr>
      <vt:lpstr>Discount Vs Customer Engagement</vt:lpstr>
      <vt:lpstr>Rating Category Vs Reviews</vt:lpstr>
      <vt:lpstr>First 10Products vs Discount</vt:lpstr>
      <vt:lpstr>10Products by Reviews</vt:lpstr>
      <vt:lpstr>Highest Rated Products</vt:lpstr>
      <vt:lpstr>HighDiscount by Reviews&amp;Rating</vt:lpstr>
      <vt:lpstr>Products VS Discount Category</vt:lpstr>
      <vt:lpstr>DASHBOARD</vt:lpstr>
      <vt:lpstr>Excel_jumia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Kinyanjui Kinsman</dc:creator>
  <cp:lastModifiedBy>kinyanjui sammy</cp:lastModifiedBy>
  <dcterms:created xsi:type="dcterms:W3CDTF">2026-01-26T08:24:54Z</dcterms:created>
  <dcterms:modified xsi:type="dcterms:W3CDTF">2026-01-31T09:54:28Z</dcterms:modified>
</cp:coreProperties>
</file>